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ngle complété et facteurs d" sheetId="1" r:id="rId5"/>
    <sheet state="visible" name="Le tableau de Synthèse et lArbi" sheetId="2" r:id="rId6"/>
    <sheet state="visible" name="Modèle de Mack &amp; SBR" sheetId="3" r:id="rId7"/>
    <sheet state="visible" name="Implémentation du MSE de Mack" sheetId="4" r:id="rId8"/>
    <sheet state="visible" name="Chart1 Comparaison des Provisio" sheetId="5" r:id="rId9"/>
    <sheet state="visible" name="Chart1 Évolution du Taux de Sin" sheetId="6" r:id="rId10"/>
  </sheets>
  <definedNames/>
  <calcPr/>
</workbook>
</file>

<file path=xl/sharedStrings.xml><?xml version="1.0" encoding="utf-8"?>
<sst xmlns="http://schemas.openxmlformats.org/spreadsheetml/2006/main" count="112" uniqueCount="84">
  <si>
    <t>Survenance</t>
  </si>
  <si>
    <t>Dev 0</t>
  </si>
  <si>
    <t>Dev 1</t>
  </si>
  <si>
    <t>Dev 2</t>
  </si>
  <si>
    <t>Dev 3</t>
  </si>
  <si>
    <t>Dev 4</t>
  </si>
  <si>
    <t>Dev 5</t>
  </si>
  <si>
    <t>Dev 6</t>
  </si>
  <si>
    <t>Dev 7</t>
  </si>
  <si>
    <t>Dev 8</t>
  </si>
  <si>
    <t>Dev 9</t>
  </si>
  <si>
    <t>Dev 10</t>
  </si>
  <si>
    <t>Primes</t>
  </si>
  <si>
    <t>facteurs</t>
  </si>
  <si>
    <t>Facteurs individuel</t>
  </si>
  <si>
    <t>CDF</t>
  </si>
  <si>
    <t>Facteurs cumules</t>
  </si>
  <si>
    <t xml:space="preserve">F0 </t>
  </si>
  <si>
    <t>CDF0</t>
  </si>
  <si>
    <t xml:space="preserve">F1 </t>
  </si>
  <si>
    <t>CDF1</t>
  </si>
  <si>
    <t>F2</t>
  </si>
  <si>
    <t>CDF2</t>
  </si>
  <si>
    <t>F3</t>
  </si>
  <si>
    <t>CDF3</t>
  </si>
  <si>
    <t>F4</t>
  </si>
  <si>
    <t>CDF4</t>
  </si>
  <si>
    <t>F5</t>
  </si>
  <si>
    <t>CDF5</t>
  </si>
  <si>
    <t>F6</t>
  </si>
  <si>
    <t>CDF6</t>
  </si>
  <si>
    <t>F7</t>
  </si>
  <si>
    <t>CDF7</t>
  </si>
  <si>
    <t>F8</t>
  </si>
  <si>
    <t>CDF8</t>
  </si>
  <si>
    <t>F9</t>
  </si>
  <si>
    <t>CDF9</t>
  </si>
  <si>
    <t>CDF10</t>
  </si>
  <si>
    <t xml:space="preserve">Année Survenance        </t>
  </si>
  <si>
    <t xml:space="preserve">Dernier Payé        </t>
  </si>
  <si>
    <t xml:space="preserve">CDF       </t>
  </si>
  <si>
    <t>Ultime CL</t>
  </si>
  <si>
    <t xml:space="preserve"> Prov. Chain Ladder   </t>
  </si>
  <si>
    <t xml:space="preserve">     Prov. B-F        </t>
  </si>
  <si>
    <t xml:space="preserve">Choix Provision     </t>
  </si>
  <si>
    <t>Taux de Sinistralité Cible</t>
  </si>
  <si>
    <t>Facteurs Individuels</t>
  </si>
  <si>
    <t>Facteurs cumulés (CDF)</t>
  </si>
  <si>
    <t>Dispersion Historique du portefeuille</t>
  </si>
  <si>
    <t>Degrés de Liberté</t>
  </si>
  <si>
    <t xml:space="preserve">Coefficient </t>
  </si>
  <si>
    <t>Variance de Mack</t>
  </si>
  <si>
    <t>Le ratio de dispersion</t>
  </si>
  <si>
    <t xml:space="preserve"> La somme des sinistres historiques connus</t>
  </si>
  <si>
    <t>Covariance élémentaire</t>
  </si>
  <si>
    <t>les années de survenance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</si>
  <si>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</si>
  <si>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</si>
  <si>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</si>
  <si>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</si>
  <si>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</si>
  <si>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</si>
  <si>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</si>
  <si>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</si>
  <si>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</si>
  <si>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</si>
  <si>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</si>
  <si>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Somme de la matrice</t>
  </si>
  <si>
    <t>Somme des variances individuelles</t>
  </si>
  <si>
    <t>MSE Global du Portefeuille</t>
  </si>
  <si>
    <t>Écart-Type / Volatilité Globale (SE)</t>
  </si>
  <si>
    <t>Best Estimate Retenu</t>
  </si>
  <si>
    <t>Coefficient de Variation au carré</t>
  </si>
  <si>
    <t>Écart-type lognormal</t>
  </si>
  <si>
    <t>Moyenne lognormale</t>
  </si>
  <si>
    <t>Value-at-Risk à 99.5%</t>
  </si>
  <si>
    <t>Marge de Risque / SCR</t>
  </si>
  <si>
    <t>Borne inferieure 95%</t>
  </si>
  <si>
    <t>Borne superieure 95%</t>
  </si>
  <si>
    <t>Année Survenance</t>
  </si>
  <si>
    <t>Prov. Chain Ladder</t>
  </si>
  <si>
    <t>Prov. B-F</t>
  </si>
  <si>
    <t>Choix Provision</t>
  </si>
  <si>
    <t>S/P Retenu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</si>
</sst>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sz val="11.0"/>
      <color theme="1"/>
      <name val="Arial"/>
      <scheme val="minor"/>
    </font>
    <font>
      <b/>
      <sz val="11.0"/>
      <color rgb="FF274E13"/>
      <name val="Arial"/>
      <scheme val="minor"/>
    </font>
    <font>
      <b/>
      <sz val="11.0"/>
      <color rgb="FF356854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1.0"/>
      <color rgb="FFFF0000"/>
      <name val="Arial"/>
      <scheme val="minor"/>
    </font>
    <font>
      <b/>
      <sz val="11.0"/>
      <color rgb="FF000000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7" numFmtId="0" xfId="0" applyAlignment="1" applyFont="1">
      <alignment readingOrder="0"/>
    </xf>
    <xf borderId="0" fillId="0" fontId="3" numFmtId="0" xfId="0" applyFont="1"/>
    <xf borderId="0" fillId="0" fontId="7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8" numFmtId="0" xfId="0" applyFont="1"/>
    <xf borderId="0" fillId="0" fontId="9" numFmtId="0" xfId="0" applyFont="1"/>
    <xf borderId="0" fillId="0" fontId="10" numFmtId="0" xfId="0" applyFont="1"/>
    <xf borderId="0" fillId="0" fontId="6" numFmtId="0" xfId="0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10">
    <tableStyle count="4" pivot="0" name="Triangle complété et facteurs 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angle complété et facteurs 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 tableau de Synthèse et lArbi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Modèle de Mack &amp; SB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odèle de Mack &amp; SBR-style 2">
      <tableStyleElement dxfId="2" type="firstRowStripe"/>
      <tableStyleElement dxfId="3" type="secondRowStripe"/>
    </tableStyle>
    <tableStyle count="4" pivot="0" name="Implémentation du MSE de Mac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Implémentation du MSE de Mack-style 2">
      <tableStyleElement dxfId="2" type="firstRowStripe"/>
      <tableStyleElement dxfId="3" type="secondRowStripe"/>
    </tableStyle>
    <tableStyle count="4" pivot="0" name="Implémentation du MSE de Mack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rt1 Comparaison des Provisio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hart1 Évolution du Taux de Sin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Comparaison des Provisions par Année de Survenance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'Chart1 Comparaison des Provisio'!$B$2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'Chart1 Comparaison des Provisio'!$A$3:$A$13</c:f>
            </c:strRef>
          </c:cat>
          <c:val>
            <c:numRef>
              <c:f>'Chart1 Comparaison des Provisio'!$B$3:$B$13</c:f>
              <c:numCache/>
            </c:numRef>
          </c:val>
          <c:smooth val="0"/>
        </c:ser>
        <c:ser>
          <c:idx val="1"/>
          <c:order val="1"/>
          <c:tx>
            <c:strRef>
              <c:f>'Chart1 Comparaison des Provisio'!$C$2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'Chart1 Comparaison des Provisio'!$A$3:$A$13</c:f>
            </c:strRef>
          </c:cat>
          <c:val>
            <c:numRef>
              <c:f>'Chart1 Comparaison des Provisio'!$C$3:$C$13</c:f>
              <c:numCache/>
            </c:numRef>
          </c:val>
          <c:smooth val="0"/>
        </c:ser>
        <c:ser>
          <c:idx val="2"/>
          <c:order val="2"/>
          <c:tx>
            <c:strRef>
              <c:f>'Chart1 Comparaison des Provisio'!$D$2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'Chart1 Comparaison des Provisio'!$A$3:$A$13</c:f>
            </c:strRef>
          </c:cat>
          <c:val>
            <c:numRef>
              <c:f>'Chart1 Comparaison des Provisio'!$D$3:$D$13</c:f>
              <c:numCache/>
            </c:numRef>
          </c:val>
          <c:smooth val="0"/>
        </c:ser>
        <c:axId val="1946063032"/>
        <c:axId val="701216866"/>
      </c:lineChart>
      <c:catAx>
        <c:axId val="1946063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Année de Survenance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216866"/>
      </c:catAx>
      <c:valAx>
        <c:axId val="701216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Montant des Provisions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606303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Évolution du Taux de Sinistralité Retenu par Année de Survenance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'Chart1 Évolution du Taux de Sin'!$B$2</c:f>
            </c:strRef>
          </c:tx>
          <c:spPr>
            <a:ln cmpd="sng">
              <a:solidFill>
                <a:srgbClr val="2CA02C"/>
              </a:solidFill>
            </a:ln>
          </c:spPr>
          <c:marker>
            <c:symbol val="none"/>
          </c:marker>
          <c:cat>
            <c:strRef>
              <c:f>'Chart1 Évolution du Taux de Sin'!$A$3:$A$13</c:f>
            </c:strRef>
          </c:cat>
          <c:val>
            <c:numRef>
              <c:f>'Chart1 Évolution du Taux de Sin'!$B$3:$B$13</c:f>
              <c:numCache/>
            </c:numRef>
          </c:val>
          <c:smooth val="0"/>
        </c:ser>
        <c:axId val="244851204"/>
        <c:axId val="2046665276"/>
      </c:lineChart>
      <c:catAx>
        <c:axId val="244851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Année de Survenance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665276"/>
      </c:catAx>
      <c:valAx>
        <c:axId val="2046665276"/>
        <c:scaling>
          <c:orientation val="minMax"/>
          <c:max val="0.724566037127899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Taux de Sinistralité (Loss Ratio)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851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561975</xdr:colOff>
      <xdr:row>1</xdr:row>
      <xdr:rowOff>257175</xdr:rowOff>
    </xdr:from>
    <xdr:ext cx="5600700" cy="3362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0</xdr:row>
      <xdr:rowOff>180975</xdr:rowOff>
    </xdr:from>
    <xdr:ext cx="5781675" cy="34671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2" displayName="Claims_Development_Triangle" name="Claims_Development_Triangle" id="1">
  <tableColumns count="13">
    <tableColumn name="Survenance" id="1"/>
    <tableColumn name="Dev 0" id="2"/>
    <tableColumn name="Dev 1" id="3"/>
    <tableColumn name="Dev 2" id="4"/>
    <tableColumn name="Dev 3" id="5"/>
    <tableColumn name="Dev 4" id="6"/>
    <tableColumn name="Dev 5" id="7"/>
    <tableColumn name="Dev 6" id="8"/>
    <tableColumn name="Dev 7" id="9"/>
    <tableColumn name="Dev 8" id="10"/>
    <tableColumn name="Dev 9" id="11"/>
    <tableColumn name="Dev 10" id="12"/>
    <tableColumn name="Primes" id="13"/>
  </tableColumns>
  <tableStyleInfo name="Triangle complété et facteurs d-style" showColumnStripes="0" showFirstColumn="1" showLastColumn="1" showRowStripes="1"/>
</table>
</file>

<file path=xl/tables/table2.xml><?xml version="1.0" encoding="utf-8"?>
<table xmlns="http://schemas.openxmlformats.org/spreadsheetml/2006/main" ref="A15:D26" displayName="Liquidation_Factors" name="Liquidation_Factors" id="2">
  <tableColumns count="4">
    <tableColumn name="facteurs" id="1"/>
    <tableColumn name="Facteurs individuel" id="2"/>
    <tableColumn name="CDF" id="3"/>
    <tableColumn name="Facteurs cumules" id="4"/>
  </tableColumns>
  <tableStyleInfo name="Triangle complété et facteurs d-style 2" showColumnStripes="0" showFirstColumn="1" showLastColumn="1" showRowStripes="1"/>
</table>
</file>

<file path=xl/tables/table3.xml><?xml version="1.0" encoding="utf-8"?>
<table xmlns="http://schemas.openxmlformats.org/spreadsheetml/2006/main" ref="A1:G14" displayName="Table3" name="Table3" id="3">
  <tableColumns count="7">
    <tableColumn name="Année Survenance        " id="1"/>
    <tableColumn name="Dernier Payé        " id="2"/>
    <tableColumn name="CDF       " id="3"/>
    <tableColumn name="Ultime CL" id="4"/>
    <tableColumn name=" Prov. Chain Ladder   " id="5"/>
    <tableColumn name="     Prov. B-F        " id="6"/>
    <tableColumn name="Choix Provision     " id="7"/>
  </tableColumns>
  <tableStyleInfo name="Le tableau de Synthèse et lArbi-style" showColumnStripes="0" showFirstColumn="1" showLastColumn="1" showRowStripes="1"/>
</table>
</file>

<file path=xl/tables/table4.xml><?xml version="1.0" encoding="utf-8"?>
<table xmlns="http://schemas.openxmlformats.org/spreadsheetml/2006/main" ref="A1:M13" displayName="Claims_Development_Matrix" name="Claims_Development_Matrix" id="4">
  <tableColumns count="13">
    <tableColumn name="Survenance" id="1"/>
    <tableColumn name="Dev 0" id="2"/>
    <tableColumn name="Dev 1" id="3"/>
    <tableColumn name="Dev 2" id="4"/>
    <tableColumn name="Dev 3" id="5"/>
    <tableColumn name="Dev 4" id="6"/>
    <tableColumn name="Dev 5" id="7"/>
    <tableColumn name="Dev 6" id="8"/>
    <tableColumn name="Dev 7" id="9"/>
    <tableColumn name="Dev 8" id="10"/>
    <tableColumn name="Dev 9" id="11"/>
    <tableColumn name="Dev 10" id="12"/>
    <tableColumn name="Primes" id="13"/>
  </tableColumns>
  <tableStyleInfo name="Modèle de Mack &amp; SBR-style" showColumnStripes="0" showFirstColumn="1" showLastColumn="1" showRowStripes="1"/>
</table>
</file>

<file path=xl/tables/table5.xml><?xml version="1.0" encoding="utf-8"?>
<table xmlns="http://schemas.openxmlformats.org/spreadsheetml/2006/main" headerRowCount="0" ref="B14:L22" displayName="Table_1" name="Table_1" id="5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Modèle de Mack &amp; SBR-style 2" showColumnStripes="0" showFirstColumn="1" showLastColumn="1" showRowStripes="1"/>
</table>
</file>

<file path=xl/tables/table6.xml><?xml version="1.0" encoding="utf-8"?>
<table xmlns="http://schemas.openxmlformats.org/spreadsheetml/2006/main" headerRowCount="0" ref="B2:M2" displayName="Table1" name="Table1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Implémentation du MSE de Mac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3:M13" displayName="Table_2" name="Table_2" id="7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Implémentation du MSE de Mack-style 2" showColumnStripes="0" showFirstColumn="1" showLastColumn="1" showRowStripes="1"/>
</table>
</file>

<file path=xl/tables/table8.xml><?xml version="1.0" encoding="utf-8"?>
<table xmlns="http://schemas.openxmlformats.org/spreadsheetml/2006/main" ref="A37:L48" displayName="Table2" name="Table2" id="8">
  <tableColumns count="12">
    <tableColumn name="les années de survenance" id="1"/>
    <tableColumn name="2016" id="2"/>
    <tableColumn name="2017" id="3"/>
    <tableColumn name="2018" id="4"/>
    <tableColumn name="2019" id="5"/>
    <tableColumn name="2020" id="6"/>
    <tableColumn name="2021" id="7"/>
    <tableColumn name="2022" id="8"/>
    <tableColumn name="2023" id="9"/>
    <tableColumn name="2024" id="10"/>
    <tableColumn name="2025" id="11"/>
    <tableColumn name="2026" id="12"/>
  </tableColumns>
  <tableStyleInfo name="Implémentation du MSE de Mack-style 3" showColumnStripes="0" showFirstColumn="1" showLastColumn="1" showRowStripes="1"/>
</table>
</file>

<file path=xl/tables/table9.xml><?xml version="1.0" encoding="utf-8"?>
<table xmlns="http://schemas.openxmlformats.org/spreadsheetml/2006/main" ref="A2:D13" displayName="Comparaison_des_Provisions_par_Année_de_Survenance" name="Comparaison_des_Provisions_par_Année_de_Survenance" id="9">
  <tableColumns count="4">
    <tableColumn name="Année Survenance" id="1"/>
    <tableColumn name="Prov. Chain Ladder" id="2"/>
    <tableColumn name="Prov. B-F" id="3"/>
    <tableColumn name="Choix Provision" id="4"/>
  </tableColumns>
  <tableStyleInfo name="Chart1 Comparaison des Provisio-style" showColumnStripes="0" showFirstColumn="1" showLastColumn="1" showRowStripes="1"/>
</table>
</file>

<file path=xl/tables/table10.xml><?xml version="1.0" encoding="utf-8"?>
<table xmlns="http://schemas.openxmlformats.org/spreadsheetml/2006/main" ref="A2:B13" displayName="Évolution_du_Taux_de_Sinistralité_Retenu_par_Année_de_Survenance" name="Évolution_du_Taux_de_Sinistralité_Retenu_par_Année_de_Survenance" id="10">
  <tableColumns count="2">
    <tableColumn name="Année Survenance" id="1"/>
    <tableColumn name="S/P Retenu" id="2"/>
  </tableColumns>
  <tableStyleInfo name="Chart1 Évolution du Taux de S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4.38"/>
    <col customWidth="1" min="3" max="3" width="12.88"/>
    <col customWidth="1" min="4" max="4" width="23.38"/>
    <col customWidth="1" min="5" max="5" width="16.63"/>
    <col customWidth="1" min="6" max="11" width="12.88"/>
    <col customWidth="1" min="12" max="12" width="13.75"/>
    <col customWidth="1" min="13" max="13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2016.0</v>
      </c>
      <c r="B2" s="2">
        <v>20000.0</v>
      </c>
      <c r="C2" s="2">
        <v>40000.0</v>
      </c>
      <c r="D2" s="2">
        <v>49000.0</v>
      </c>
      <c r="E2" s="2">
        <v>55000.0</v>
      </c>
      <c r="F2" s="2">
        <v>60000.0</v>
      </c>
      <c r="G2" s="2">
        <v>62000.0</v>
      </c>
      <c r="H2" s="2">
        <v>63500.0</v>
      </c>
      <c r="I2" s="2">
        <v>64000.0</v>
      </c>
      <c r="J2" s="2">
        <v>64500.0</v>
      </c>
      <c r="K2" s="2">
        <v>64800.0</v>
      </c>
      <c r="L2" s="2">
        <v>65000.0</v>
      </c>
      <c r="M2" s="2">
        <v>100000.0</v>
      </c>
    </row>
    <row r="3" ht="22.5" customHeight="1">
      <c r="A3" s="2">
        <v>2017.0</v>
      </c>
      <c r="B3" s="2">
        <v>22000.0</v>
      </c>
      <c r="C3" s="2">
        <v>43000.0</v>
      </c>
      <c r="D3" s="2">
        <v>54000.0</v>
      </c>
      <c r="E3" s="2">
        <v>61000.0</v>
      </c>
      <c r="F3" s="2">
        <v>66000.0</v>
      </c>
      <c r="G3" s="2">
        <v>68000.0</v>
      </c>
      <c r="H3" s="2">
        <v>69500.0</v>
      </c>
      <c r="I3" s="2">
        <v>70500.0</v>
      </c>
      <c r="J3" s="2">
        <v>71000.0</v>
      </c>
      <c r="K3" s="2">
        <v>71500.0</v>
      </c>
      <c r="L3" s="3">
        <f>K3*B25</f>
        <v>71720.67901</v>
      </c>
      <c r="M3" s="2">
        <v>110000.0</v>
      </c>
    </row>
    <row r="4" ht="22.5" customHeight="1">
      <c r="A4" s="2">
        <v>2018.0</v>
      </c>
      <c r="B4" s="2">
        <v>24000.0</v>
      </c>
      <c r="C4" s="2">
        <v>47000.0</v>
      </c>
      <c r="D4" s="2">
        <v>59000.0</v>
      </c>
      <c r="E4" s="2">
        <v>66500.0</v>
      </c>
      <c r="F4" s="2">
        <v>72000.0</v>
      </c>
      <c r="G4" s="2">
        <v>74000.0</v>
      </c>
      <c r="H4" s="2">
        <v>76000.0</v>
      </c>
      <c r="I4" s="2">
        <v>77000.0</v>
      </c>
      <c r="J4" s="2">
        <v>77500.0</v>
      </c>
      <c r="K4" s="3">
        <f>J4*B24</f>
        <v>77957.56458</v>
      </c>
      <c r="L4" s="3">
        <f>K4*B25</f>
        <v>78198.17434</v>
      </c>
      <c r="M4" s="2">
        <v>120000.0</v>
      </c>
    </row>
    <row r="5" ht="22.5" customHeight="1">
      <c r="A5" s="2">
        <v>2019.0</v>
      </c>
      <c r="B5" s="2">
        <v>27000.0</v>
      </c>
      <c r="C5" s="2">
        <v>53000.0</v>
      </c>
      <c r="D5" s="2">
        <v>66000.0</v>
      </c>
      <c r="E5" s="2">
        <v>75000.0</v>
      </c>
      <c r="F5" s="2">
        <v>81000.0</v>
      </c>
      <c r="G5" s="2">
        <v>83500.0</v>
      </c>
      <c r="H5" s="2">
        <v>85500.0</v>
      </c>
      <c r="I5" s="2">
        <v>86500.0</v>
      </c>
      <c r="J5" s="3">
        <f>B23*I5</f>
        <v>87113.47518</v>
      </c>
      <c r="K5" s="3">
        <f>J5*B24</f>
        <v>87627.79828</v>
      </c>
      <c r="L5" s="3">
        <f>K5*B25</f>
        <v>87898.25445</v>
      </c>
      <c r="M5" s="2">
        <v>135000.0</v>
      </c>
    </row>
    <row r="6" ht="22.5" customHeight="1">
      <c r="A6" s="2">
        <v>2020.0</v>
      </c>
      <c r="B6" s="2">
        <v>30000.0</v>
      </c>
      <c r="C6" s="2">
        <v>59000.0</v>
      </c>
      <c r="D6" s="2">
        <v>73000.0</v>
      </c>
      <c r="E6" s="2">
        <v>83000.0</v>
      </c>
      <c r="F6" s="2">
        <v>90000.0</v>
      </c>
      <c r="G6" s="2">
        <v>93000.0</v>
      </c>
      <c r="H6" s="2">
        <v>95000.0</v>
      </c>
      <c r="I6" s="3">
        <f>H6*B22</f>
        <v>96129.03226</v>
      </c>
      <c r="J6" s="3">
        <f>I6*B23</f>
        <v>96810.79844</v>
      </c>
      <c r="K6" s="3">
        <f>J6*B24</f>
        <v>97382.37511</v>
      </c>
      <c r="L6" s="3">
        <f>K6*B25</f>
        <v>97682.938</v>
      </c>
      <c r="M6" s="2">
        <v>150000.0</v>
      </c>
    </row>
    <row r="7" ht="22.5" customHeight="1">
      <c r="A7" s="2">
        <v>2021.0</v>
      </c>
      <c r="B7" s="2">
        <v>33000.0</v>
      </c>
      <c r="C7" s="2">
        <v>64000.0</v>
      </c>
      <c r="D7" s="2">
        <v>80000.0</v>
      </c>
      <c r="E7" s="2">
        <v>91000.0</v>
      </c>
      <c r="F7" s="2">
        <v>99000.0</v>
      </c>
      <c r="G7" s="2">
        <v>102000.0</v>
      </c>
      <c r="H7" s="3">
        <f>G7*B21</f>
        <v>104412.615</v>
      </c>
      <c r="I7" s="3">
        <f>H7*B22</f>
        <v>105653.5119</v>
      </c>
      <c r="J7" s="3">
        <f>I7*B23</f>
        <v>106402.8276</v>
      </c>
      <c r="K7" s="3">
        <f>J7*B24</f>
        <v>107031.0362</v>
      </c>
      <c r="L7" s="3">
        <f>K7*B25</f>
        <v>107361.3789</v>
      </c>
      <c r="M7" s="2">
        <v>165000.0</v>
      </c>
    </row>
    <row r="8" ht="22.5" customHeight="1">
      <c r="A8" s="2">
        <v>2022.0</v>
      </c>
      <c r="B8" s="2">
        <v>36000.0</v>
      </c>
      <c r="C8" s="2">
        <v>70000.0</v>
      </c>
      <c r="D8" s="2">
        <v>88000.0</v>
      </c>
      <c r="E8" s="2">
        <v>100000.0</v>
      </c>
      <c r="F8" s="2">
        <v>108000.0</v>
      </c>
      <c r="G8" s="3">
        <f>F8*B20</f>
        <v>111346.1538</v>
      </c>
      <c r="H8" s="3">
        <f>G8*B21</f>
        <v>113979.8342</v>
      </c>
      <c r="I8" s="3">
        <f>H8*B22</f>
        <v>115334.4333</v>
      </c>
      <c r="J8" s="3">
        <f>I8*B23</f>
        <v>116152.408</v>
      </c>
      <c r="K8" s="3">
        <f>J8*B24</f>
        <v>116838.1787</v>
      </c>
      <c r="L8" s="3">
        <f>K8*B25</f>
        <v>117198.7903</v>
      </c>
      <c r="M8" s="2">
        <v>180000.0</v>
      </c>
    </row>
    <row r="9" ht="22.5" customHeight="1">
      <c r="A9" s="2">
        <v>2023.0</v>
      </c>
      <c r="B9" s="2">
        <v>40000.0</v>
      </c>
      <c r="C9" s="2">
        <v>78000.0</v>
      </c>
      <c r="D9" s="2">
        <v>98000.0</v>
      </c>
      <c r="E9" s="2">
        <v>111000.0</v>
      </c>
      <c r="F9" s="3">
        <f>E9*B19</f>
        <v>120293.5089</v>
      </c>
      <c r="G9" s="3">
        <f>F9*B20</f>
        <v>124020.5514</v>
      </c>
      <c r="H9" s="3">
        <f>G9*B21</f>
        <v>126954.0204</v>
      </c>
      <c r="I9" s="3">
        <f>H9*B22</f>
        <v>128462.8119</v>
      </c>
      <c r="J9" s="3">
        <f>I9*B23</f>
        <v>129373.8956</v>
      </c>
      <c r="K9" s="3">
        <f>J9*B24</f>
        <v>130137.7267</v>
      </c>
      <c r="L9" s="3">
        <f>K9*B25</f>
        <v>130539.3864</v>
      </c>
      <c r="M9" s="2">
        <v>200000.0</v>
      </c>
    </row>
    <row r="10" ht="22.5" customHeight="1">
      <c r="A10" s="2">
        <v>2024.0</v>
      </c>
      <c r="B10" s="2">
        <v>44000.0</v>
      </c>
      <c r="C10" s="2">
        <v>86000.0</v>
      </c>
      <c r="D10" s="2">
        <v>108000.0</v>
      </c>
      <c r="E10" s="3">
        <f>D10*B18</f>
        <v>122380.9524</v>
      </c>
      <c r="F10" s="3">
        <f>E10*B19</f>
        <v>132627.335</v>
      </c>
      <c r="G10" s="3">
        <f>F10*B20</f>
        <v>136736.5153</v>
      </c>
      <c r="H10" s="3">
        <f>G10*B21</f>
        <v>139970.7561</v>
      </c>
      <c r="I10" s="3">
        <f>H10*B22</f>
        <v>141634.2456</v>
      </c>
      <c r="J10" s="3">
        <f>I10*B23</f>
        <v>142638.7438</v>
      </c>
      <c r="K10" s="3">
        <f>J10*B24</f>
        <v>143480.8913</v>
      </c>
      <c r="L10" s="3">
        <f>K10*B25</f>
        <v>143923.7336</v>
      </c>
      <c r="M10" s="2">
        <v>220000.0</v>
      </c>
    </row>
    <row r="11" ht="22.5" customHeight="1">
      <c r="A11" s="2">
        <v>2025.0</v>
      </c>
      <c r="B11" s="2">
        <v>48000.0</v>
      </c>
      <c r="C11" s="2">
        <v>93000.0</v>
      </c>
      <c r="D11" s="3">
        <f>C11*B17</f>
        <v>116250</v>
      </c>
      <c r="E11" s="3">
        <f>D11*B18</f>
        <v>131729.4974</v>
      </c>
      <c r="F11" s="3">
        <f>E11*B19</f>
        <v>142758.5898</v>
      </c>
      <c r="G11" s="3">
        <f>F11*B20</f>
        <v>147181.6658</v>
      </c>
      <c r="H11" s="3">
        <f>G11*B21</f>
        <v>150662.9667</v>
      </c>
      <c r="I11" s="3">
        <f>H11*B22</f>
        <v>152453.5282</v>
      </c>
      <c r="J11" s="3">
        <f>I11*B23</f>
        <v>153534.7589</v>
      </c>
      <c r="K11" s="3">
        <f>J11*B24</f>
        <v>154441.2372</v>
      </c>
      <c r="L11" s="3">
        <f>K11*B25</f>
        <v>154917.9077</v>
      </c>
      <c r="M11" s="2">
        <v>240000.0</v>
      </c>
    </row>
    <row r="12" ht="22.5" customHeight="1">
      <c r="A12" s="2">
        <v>2026.0</v>
      </c>
      <c r="B12" s="2">
        <v>15000.0</v>
      </c>
      <c r="C12" s="3">
        <f>B12*B16</f>
        <v>29305.55556</v>
      </c>
      <c r="D12" s="3">
        <f>C12*B17</f>
        <v>36631.94444</v>
      </c>
      <c r="E12" s="3">
        <f>D12*B18</f>
        <v>41509.74304</v>
      </c>
      <c r="F12" s="3">
        <f>E12*B19</f>
        <v>44985.15897</v>
      </c>
      <c r="G12" s="3">
        <f>F12*B20</f>
        <v>46378.92992</v>
      </c>
      <c r="H12" s="3">
        <f>G12*B21</f>
        <v>47475.93483</v>
      </c>
      <c r="I12" s="3">
        <f>H12*B22</f>
        <v>48040.16496</v>
      </c>
      <c r="J12" s="3">
        <f>I12*B23</f>
        <v>48380.87535</v>
      </c>
      <c r="K12" s="3">
        <f>J12*B24</f>
        <v>48666.51889</v>
      </c>
      <c r="L12" s="3">
        <f>K12*B25</f>
        <v>48816.7242</v>
      </c>
      <c r="M12" s="2">
        <v>260000.0</v>
      </c>
    </row>
    <row r="15" ht="22.5" customHeight="1">
      <c r="A15" s="4" t="s">
        <v>13</v>
      </c>
      <c r="B15" s="5" t="s">
        <v>14</v>
      </c>
      <c r="C15" s="6" t="s">
        <v>15</v>
      </c>
      <c r="D15" s="4" t="s">
        <v>16</v>
      </c>
    </row>
    <row r="16" ht="22.5" customHeight="1">
      <c r="A16" s="7" t="s">
        <v>17</v>
      </c>
      <c r="B16" s="8">
        <f>SUM(C2:C11)/SUM(B2:B11)</f>
        <v>1.953703704</v>
      </c>
      <c r="C16" s="7" t="s">
        <v>18</v>
      </c>
      <c r="D16" s="9">
        <f t="shared" ref="D16:D21" si="1">B16*D17</f>
        <v>3.25444828</v>
      </c>
    </row>
    <row r="17" ht="22.5" customHeight="1">
      <c r="A17" s="7" t="s">
        <v>19</v>
      </c>
      <c r="B17" s="8">
        <f>SUM(D2:D10)/SUM(C2:C10)</f>
        <v>1.25</v>
      </c>
      <c r="C17" s="7" t="s">
        <v>20</v>
      </c>
      <c r="D17" s="9">
        <f t="shared" si="1"/>
        <v>1.665783954</v>
      </c>
    </row>
    <row r="18" ht="22.5" customHeight="1">
      <c r="A18" s="7" t="s">
        <v>21</v>
      </c>
      <c r="B18" s="8">
        <f>SUM(E2:E9)/SUM(D2:D9)</f>
        <v>1.133156966</v>
      </c>
      <c r="C18" s="7" t="s">
        <v>22</v>
      </c>
      <c r="D18" s="9">
        <f t="shared" si="1"/>
        <v>1.332627163</v>
      </c>
    </row>
    <row r="19" ht="22.5" customHeight="1">
      <c r="A19" s="7" t="s">
        <v>23</v>
      </c>
      <c r="B19" s="8">
        <f>SUM(F2:F8)/SUM(E2:E8)</f>
        <v>1.083725306</v>
      </c>
      <c r="C19" s="7" t="s">
        <v>24</v>
      </c>
      <c r="D19" s="10">
        <f t="shared" si="1"/>
        <v>1.176030508</v>
      </c>
    </row>
    <row r="20" ht="22.5" customHeight="1">
      <c r="A20" s="7" t="s">
        <v>25</v>
      </c>
      <c r="B20" s="8">
        <f>SUM(G2:G7)/SUM(F2:F7)</f>
        <v>1.030982906</v>
      </c>
      <c r="C20" s="7" t="s">
        <v>26</v>
      </c>
      <c r="D20" s="9">
        <f t="shared" si="1"/>
        <v>1.085173984</v>
      </c>
    </row>
    <row r="21" ht="22.5" customHeight="1">
      <c r="A21" s="7" t="s">
        <v>27</v>
      </c>
      <c r="B21" s="8">
        <f>SUM(H2:H6)/SUM(G2:G6)</f>
        <v>1.023653088</v>
      </c>
      <c r="C21" s="7" t="s">
        <v>28</v>
      </c>
      <c r="D21" s="9">
        <f t="shared" si="1"/>
        <v>1.052562538</v>
      </c>
    </row>
    <row r="22" ht="22.5" customHeight="1">
      <c r="A22" s="7" t="s">
        <v>29</v>
      </c>
      <c r="B22" s="8">
        <f>SUM(I2:I5)/SUM(H2:H5)</f>
        <v>1.01188455</v>
      </c>
      <c r="C22" s="7" t="s">
        <v>30</v>
      </c>
      <c r="D22" s="9">
        <f t="shared" ref="D22:D25" si="2">D23*B22</f>
        <v>1.028241453</v>
      </c>
    </row>
    <row r="23" ht="22.5" customHeight="1">
      <c r="A23" s="7" t="s">
        <v>31</v>
      </c>
      <c r="B23" s="8">
        <f>SUM(J2:J4)/SUM(I2:I4)</f>
        <v>1.007092199</v>
      </c>
      <c r="C23" s="7" t="s">
        <v>32</v>
      </c>
      <c r="D23" s="9">
        <f t="shared" si="2"/>
        <v>1.016164791</v>
      </c>
    </row>
    <row r="24" ht="22.5" customHeight="1">
      <c r="A24" s="7" t="s">
        <v>33</v>
      </c>
      <c r="B24" s="8">
        <f>SUM(K2:K3)/SUM(J2:J3)</f>
        <v>1.005904059</v>
      </c>
      <c r="C24" s="7" t="s">
        <v>34</v>
      </c>
      <c r="D24" s="9">
        <f t="shared" si="2"/>
        <v>1.009008701</v>
      </c>
    </row>
    <row r="25" ht="22.5" customHeight="1">
      <c r="A25" s="7" t="s">
        <v>35</v>
      </c>
      <c r="B25" s="8">
        <f>SUM(L2)/(K2)</f>
        <v>1.00308642</v>
      </c>
      <c r="C25" s="7" t="s">
        <v>36</v>
      </c>
      <c r="D25" s="9">
        <f t="shared" si="2"/>
        <v>1.00308642</v>
      </c>
    </row>
    <row r="26" ht="22.5" customHeight="1">
      <c r="B26" s="11"/>
      <c r="C26" s="7" t="s">
        <v>37</v>
      </c>
      <c r="D26" s="10">
        <v>1.0</v>
      </c>
    </row>
  </sheetData>
  <dataValidations>
    <dataValidation type="custom" allowBlank="1" showDropDown="1" sqref="A2:M12 B16:B26 D16:D26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1.38"/>
    <col customWidth="1" min="3" max="4" width="13.25"/>
    <col customWidth="1" min="5" max="5" width="21.0"/>
    <col customWidth="1" min="6" max="6" width="17.38"/>
    <col customWidth="1" min="7" max="7" width="19.0"/>
  </cols>
  <sheetData>
    <row r="1" ht="22.5" customHeight="1">
      <c r="A1" s="1" t="s">
        <v>38</v>
      </c>
      <c r="B1" s="1" t="s">
        <v>39</v>
      </c>
      <c r="C1" s="12" t="s">
        <v>40</v>
      </c>
      <c r="D1" s="1" t="s">
        <v>41</v>
      </c>
      <c r="E1" s="12" t="s">
        <v>42</v>
      </c>
      <c r="F1" s="12" t="s">
        <v>43</v>
      </c>
      <c r="G1" s="12" t="s">
        <v>44</v>
      </c>
    </row>
    <row r="2" ht="22.5" customHeight="1">
      <c r="A2" s="11"/>
      <c r="B2" s="11"/>
      <c r="C2" s="2"/>
      <c r="D2" s="2"/>
      <c r="E2" s="2"/>
      <c r="F2" s="2"/>
      <c r="G2" s="2"/>
    </row>
    <row r="3" ht="22.5" customHeight="1">
      <c r="A3" s="13">
        <v>2016.0</v>
      </c>
      <c r="B3" s="14">
        <v>65000.0</v>
      </c>
      <c r="C3" s="15">
        <v>1.0</v>
      </c>
      <c r="D3" s="15">
        <f t="shared" ref="D3:D13" si="1">C3*B3</f>
        <v>65000</v>
      </c>
      <c r="E3" s="15">
        <v>0.0</v>
      </c>
      <c r="F3" s="14">
        <f>100000*0.65*(1-(1/C3))</f>
        <v>0</v>
      </c>
      <c r="G3" s="14">
        <f t="shared" ref="G3:G13" si="2">IF(F3&gt;E3, F3, E3)</f>
        <v>0</v>
      </c>
    </row>
    <row r="4" ht="22.5" customHeight="1">
      <c r="A4" s="13">
        <v>2017.0</v>
      </c>
      <c r="B4" s="14">
        <v>71500.0</v>
      </c>
      <c r="C4" s="14">
        <v>1.00308641975309</v>
      </c>
      <c r="D4" s="16">
        <f t="shared" si="1"/>
        <v>71720.67901</v>
      </c>
      <c r="E4" s="16">
        <f t="shared" ref="E4:E13" si="3">B4*(C4-1)</f>
        <v>220.6790123</v>
      </c>
      <c r="F4" s="14">
        <f>110000*0.65*(1-(1/C4))</f>
        <v>220</v>
      </c>
      <c r="G4" s="14">
        <f t="shared" si="2"/>
        <v>220.6790123</v>
      </c>
    </row>
    <row r="5" ht="22.5" customHeight="1">
      <c r="A5" s="13">
        <v>2018.0</v>
      </c>
      <c r="B5" s="14">
        <v>77500.0</v>
      </c>
      <c r="C5" s="17">
        <v>1.009008701198123</v>
      </c>
      <c r="D5" s="16">
        <f t="shared" si="1"/>
        <v>78198.17434</v>
      </c>
      <c r="E5" s="16">
        <f t="shared" si="3"/>
        <v>698.1743429</v>
      </c>
      <c r="F5" s="14">
        <f>120000*0.65*(1-(1/C5))</f>
        <v>696.404989</v>
      </c>
      <c r="G5" s="14">
        <f t="shared" si="2"/>
        <v>698.1743429</v>
      </c>
    </row>
    <row r="6" ht="22.5" customHeight="1">
      <c r="A6" s="13">
        <v>2019.0</v>
      </c>
      <c r="B6" s="14">
        <v>95000.0</v>
      </c>
      <c r="C6" s="17">
        <v>1.0161647912775422</v>
      </c>
      <c r="D6" s="16">
        <f t="shared" si="1"/>
        <v>96535.65517</v>
      </c>
      <c r="E6" s="16">
        <f t="shared" si="3"/>
        <v>1535.655171</v>
      </c>
      <c r="F6" s="14">
        <f>135000*0.65*(1-(1/C6))</f>
        <v>1395.896066</v>
      </c>
      <c r="G6" s="14">
        <f t="shared" si="2"/>
        <v>1535.655171</v>
      </c>
    </row>
    <row r="7" ht="22.5" customHeight="1">
      <c r="A7" s="13">
        <v>2020.0</v>
      </c>
      <c r="B7" s="14">
        <v>102000.0</v>
      </c>
      <c r="C7" s="17">
        <v>1.0282414526339816</v>
      </c>
      <c r="D7" s="16">
        <f t="shared" si="1"/>
        <v>104880.6282</v>
      </c>
      <c r="E7" s="16">
        <f t="shared" si="3"/>
        <v>2880.628169</v>
      </c>
      <c r="F7" s="14">
        <f>150000*0.65*(1-(1/C7))</f>
        <v>2677.913466</v>
      </c>
      <c r="G7" s="14">
        <f t="shared" si="2"/>
        <v>2880.628169</v>
      </c>
    </row>
    <row r="8" ht="22.5" customHeight="1">
      <c r="A8" s="13">
        <v>2021.0</v>
      </c>
      <c r="B8" s="14">
        <v>108000.0</v>
      </c>
      <c r="C8" s="17">
        <v>1.0525625382416186</v>
      </c>
      <c r="D8" s="16">
        <f t="shared" si="1"/>
        <v>113676.7541</v>
      </c>
      <c r="E8" s="16">
        <f t="shared" si="3"/>
        <v>5676.75413</v>
      </c>
      <c r="F8" s="14">
        <f>165000*0.65*(1-(1/C8))</f>
        <v>5355.816896</v>
      </c>
      <c r="G8" s="18">
        <f t="shared" si="2"/>
        <v>5676.75413</v>
      </c>
    </row>
    <row r="9" ht="22.5" customHeight="1">
      <c r="A9" s="13">
        <v>2022.0</v>
      </c>
      <c r="B9" s="14">
        <v>108000.0</v>
      </c>
      <c r="C9" s="17">
        <v>1.0851739844050874</v>
      </c>
      <c r="D9" s="16">
        <f t="shared" si="1"/>
        <v>117198.7903</v>
      </c>
      <c r="E9" s="16">
        <f t="shared" si="3"/>
        <v>9198.790316</v>
      </c>
      <c r="F9" s="18">
        <f>180000*0.65*(1-(1/C9))</f>
        <v>9183.187506</v>
      </c>
      <c r="G9" s="18">
        <f t="shared" si="2"/>
        <v>9198.790316</v>
      </c>
    </row>
    <row r="10" ht="22.5" customHeight="1">
      <c r="A10" s="13">
        <v>2023.0</v>
      </c>
      <c r="B10" s="14">
        <v>111000.0</v>
      </c>
      <c r="C10" s="19">
        <v>1.1760305080288433</v>
      </c>
      <c r="D10" s="16">
        <f t="shared" si="1"/>
        <v>130539.3864</v>
      </c>
      <c r="E10" s="16">
        <f t="shared" si="3"/>
        <v>19539.38639</v>
      </c>
      <c r="F10" s="18">
        <f>200000*0.65*(1-(1/C10))</f>
        <v>19458.65</v>
      </c>
      <c r="G10" s="18">
        <f t="shared" si="2"/>
        <v>19539.38639</v>
      </c>
    </row>
    <row r="11" ht="22.5" customHeight="1">
      <c r="A11" s="13">
        <v>2024.0</v>
      </c>
      <c r="B11" s="14">
        <v>108000.0</v>
      </c>
      <c r="C11" s="17">
        <v>1.3326271629780104</v>
      </c>
      <c r="D11" s="16">
        <f t="shared" si="1"/>
        <v>143923.7336</v>
      </c>
      <c r="E11" s="16">
        <f t="shared" si="3"/>
        <v>35923.7336</v>
      </c>
      <c r="F11" s="18">
        <f>220000*0.65*(1-(1/C11))</f>
        <v>35693.16732</v>
      </c>
      <c r="G11" s="18">
        <f t="shared" si="2"/>
        <v>35923.7336</v>
      </c>
    </row>
    <row r="12" ht="22.5" customHeight="1">
      <c r="A12" s="13">
        <v>2025.0</v>
      </c>
      <c r="B12" s="14">
        <v>93000.0</v>
      </c>
      <c r="C12" s="17">
        <v>1.665783953722513</v>
      </c>
      <c r="D12" s="16">
        <f t="shared" si="1"/>
        <v>154917.9077</v>
      </c>
      <c r="E12" s="16">
        <f t="shared" si="3"/>
        <v>61917.9077</v>
      </c>
      <c r="F12" s="16">
        <f>240000*0.65*(1-(1/C12))</f>
        <v>62350.40057</v>
      </c>
      <c r="G12" s="16">
        <f t="shared" si="2"/>
        <v>62350.40057</v>
      </c>
    </row>
    <row r="13" ht="22.5" customHeight="1">
      <c r="A13" s="13">
        <v>2026.0</v>
      </c>
      <c r="B13" s="14">
        <v>15000.0</v>
      </c>
      <c r="C13" s="10">
        <v>3.25444828</v>
      </c>
      <c r="D13" s="16">
        <f t="shared" si="1"/>
        <v>48816.7242</v>
      </c>
      <c r="E13" s="16">
        <f t="shared" si="3"/>
        <v>33816.7242</v>
      </c>
      <c r="F13" s="16">
        <f>260000*0.65*(1-(1/C13))</f>
        <v>117071.0752</v>
      </c>
      <c r="G13" s="16">
        <f t="shared" si="2"/>
        <v>117071.0752</v>
      </c>
    </row>
    <row r="14" ht="22.5" customHeight="1">
      <c r="A14" s="20"/>
      <c r="B14" s="21"/>
      <c r="C14" s="19"/>
      <c r="D14" s="22"/>
      <c r="E14" s="22">
        <f>SUM(E3:E12)</f>
        <v>137591.7088</v>
      </c>
      <c r="F14" s="23">
        <f>SUM(F3:F13)</f>
        <v>254102.512</v>
      </c>
      <c r="G14" s="23">
        <f>SUM(G4:G13)</f>
        <v>255095.2769</v>
      </c>
    </row>
  </sheetData>
  <dataValidations>
    <dataValidation type="custom" allowBlank="1" showDropDown="1" sqref="A2:B14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38"/>
    <col customWidth="1" min="2" max="2" width="13.75"/>
    <col customWidth="1" min="3" max="3" width="13.25"/>
    <col customWidth="1" min="4" max="5" width="13.75"/>
    <col customWidth="1" min="6" max="6" width="14.63"/>
    <col customWidth="1" min="7" max="8" width="14.75"/>
    <col customWidth="1" min="9" max="10" width="13.75"/>
    <col customWidth="1" min="11" max="11" width="13.25"/>
    <col customWidth="1" min="12" max="12" width="13.75"/>
    <col customWidth="1" min="13" max="13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ht="22.5" customHeight="1">
      <c r="A3" s="2">
        <v>2016.0</v>
      </c>
      <c r="B3" s="2">
        <v>20000.0</v>
      </c>
      <c r="C3" s="2">
        <v>40000.0</v>
      </c>
      <c r="D3" s="2">
        <v>49000.0</v>
      </c>
      <c r="E3" s="2">
        <v>55000.0</v>
      </c>
      <c r="F3" s="2">
        <v>60000.0</v>
      </c>
      <c r="G3" s="2">
        <v>62000.0</v>
      </c>
      <c r="H3" s="2">
        <v>63500.0</v>
      </c>
      <c r="I3" s="2">
        <v>64000.0</v>
      </c>
      <c r="J3" s="2">
        <v>64500.0</v>
      </c>
      <c r="K3" s="2">
        <v>64800.0</v>
      </c>
      <c r="L3" s="2">
        <v>65000.0</v>
      </c>
      <c r="M3" s="2">
        <v>100000.0</v>
      </c>
    </row>
    <row r="4" ht="22.5" customHeight="1">
      <c r="A4" s="2">
        <v>2017.0</v>
      </c>
      <c r="B4" s="2">
        <v>22000.0</v>
      </c>
      <c r="C4" s="2">
        <v>43000.0</v>
      </c>
      <c r="D4" s="2">
        <v>54000.0</v>
      </c>
      <c r="E4" s="2">
        <v>61000.0</v>
      </c>
      <c r="F4" s="2">
        <v>66000.0</v>
      </c>
      <c r="G4" s="2">
        <v>68000.0</v>
      </c>
      <c r="H4" s="2">
        <v>69500.0</v>
      </c>
      <c r="I4" s="2">
        <v>70500.0</v>
      </c>
      <c r="J4" s="2">
        <v>71000.0</v>
      </c>
      <c r="K4" s="2">
        <v>71500.0</v>
      </c>
      <c r="L4" s="3"/>
      <c r="M4" s="2">
        <v>110000.0</v>
      </c>
    </row>
    <row r="5" ht="22.5" customHeight="1">
      <c r="A5" s="2">
        <v>2018.0</v>
      </c>
      <c r="B5" s="2">
        <v>24000.0</v>
      </c>
      <c r="C5" s="2">
        <v>47000.0</v>
      </c>
      <c r="D5" s="2">
        <v>59000.0</v>
      </c>
      <c r="E5" s="2">
        <v>66500.0</v>
      </c>
      <c r="F5" s="2">
        <v>72000.0</v>
      </c>
      <c r="G5" s="2">
        <v>74000.0</v>
      </c>
      <c r="H5" s="2">
        <v>76000.0</v>
      </c>
      <c r="I5" s="2">
        <v>77000.0</v>
      </c>
      <c r="J5" s="2">
        <v>77500.0</v>
      </c>
      <c r="K5" s="3"/>
      <c r="L5" s="3"/>
      <c r="M5" s="2">
        <v>120000.0</v>
      </c>
    </row>
    <row r="6" ht="22.5" customHeight="1">
      <c r="A6" s="2">
        <v>2019.0</v>
      </c>
      <c r="B6" s="2">
        <v>27000.0</v>
      </c>
      <c r="C6" s="2">
        <v>53000.0</v>
      </c>
      <c r="D6" s="2">
        <v>66000.0</v>
      </c>
      <c r="E6" s="2">
        <v>75000.0</v>
      </c>
      <c r="F6" s="2">
        <v>81000.0</v>
      </c>
      <c r="G6" s="2">
        <v>83500.0</v>
      </c>
      <c r="H6" s="2">
        <v>85500.0</v>
      </c>
      <c r="I6" s="2">
        <v>86500.0</v>
      </c>
      <c r="J6" s="3"/>
      <c r="K6" s="3"/>
      <c r="L6" s="3"/>
      <c r="M6" s="2">
        <v>135000.0</v>
      </c>
    </row>
    <row r="7" ht="22.5" customHeight="1">
      <c r="A7" s="2">
        <v>2020.0</v>
      </c>
      <c r="B7" s="2">
        <v>30000.0</v>
      </c>
      <c r="C7" s="2">
        <v>59000.0</v>
      </c>
      <c r="D7" s="2">
        <v>73000.0</v>
      </c>
      <c r="E7" s="2">
        <v>83000.0</v>
      </c>
      <c r="F7" s="2">
        <v>90000.0</v>
      </c>
      <c r="G7" s="2">
        <v>93000.0</v>
      </c>
      <c r="H7" s="2">
        <v>95000.0</v>
      </c>
      <c r="I7" s="3"/>
      <c r="J7" s="3"/>
      <c r="K7" s="3"/>
      <c r="L7" s="3"/>
      <c r="M7" s="2">
        <v>150000.0</v>
      </c>
    </row>
    <row r="8" ht="22.5" customHeight="1">
      <c r="A8" s="2">
        <v>2021.0</v>
      </c>
      <c r="B8" s="2">
        <v>33000.0</v>
      </c>
      <c r="C8" s="2">
        <v>64000.0</v>
      </c>
      <c r="D8" s="2">
        <v>80000.0</v>
      </c>
      <c r="E8" s="2">
        <v>91000.0</v>
      </c>
      <c r="F8" s="2">
        <v>99000.0</v>
      </c>
      <c r="G8" s="2">
        <v>102000.0</v>
      </c>
      <c r="H8" s="3"/>
      <c r="I8" s="3"/>
      <c r="J8" s="3"/>
      <c r="K8" s="3"/>
      <c r="L8" s="3"/>
      <c r="M8" s="2">
        <v>165000.0</v>
      </c>
    </row>
    <row r="9" ht="22.5" customHeight="1">
      <c r="A9" s="2">
        <v>2022.0</v>
      </c>
      <c r="B9" s="2">
        <v>36000.0</v>
      </c>
      <c r="C9" s="2">
        <v>70000.0</v>
      </c>
      <c r="D9" s="2">
        <v>88000.0</v>
      </c>
      <c r="E9" s="2">
        <v>100000.0</v>
      </c>
      <c r="F9" s="2">
        <v>108000.0</v>
      </c>
      <c r="G9" s="3"/>
      <c r="H9" s="3"/>
      <c r="I9" s="3"/>
      <c r="J9" s="3"/>
      <c r="K9" s="3"/>
      <c r="L9" s="3"/>
      <c r="M9" s="2">
        <v>180000.0</v>
      </c>
    </row>
    <row r="10" ht="22.5" customHeight="1">
      <c r="A10" s="2">
        <v>2023.0</v>
      </c>
      <c r="B10" s="2">
        <v>40000.0</v>
      </c>
      <c r="C10" s="2">
        <v>78000.0</v>
      </c>
      <c r="D10" s="2">
        <v>98000.0</v>
      </c>
      <c r="E10" s="2">
        <v>111000.0</v>
      </c>
      <c r="F10" s="3"/>
      <c r="G10" s="3"/>
      <c r="H10" s="3"/>
      <c r="I10" s="3"/>
      <c r="J10" s="3"/>
      <c r="K10" s="3"/>
      <c r="L10" s="3"/>
      <c r="M10" s="2">
        <v>200000.0</v>
      </c>
    </row>
    <row r="11" ht="22.5" customHeight="1">
      <c r="A11" s="2">
        <v>2024.0</v>
      </c>
      <c r="B11" s="2">
        <v>44000.0</v>
      </c>
      <c r="C11" s="2">
        <v>86000.0</v>
      </c>
      <c r="D11" s="2">
        <v>108000.0</v>
      </c>
      <c r="E11" s="3"/>
      <c r="F11" s="3"/>
      <c r="G11" s="3"/>
      <c r="H11" s="3"/>
      <c r="I11" s="3"/>
      <c r="J11" s="3"/>
      <c r="K11" s="3"/>
      <c r="L11" s="3"/>
      <c r="M11" s="2">
        <v>220000.0</v>
      </c>
    </row>
    <row r="12" ht="22.5" customHeight="1">
      <c r="A12" s="2">
        <v>2025.0</v>
      </c>
      <c r="B12" s="2">
        <v>48000.0</v>
      </c>
      <c r="C12" s="2">
        <v>93000.0</v>
      </c>
      <c r="D12" s="3"/>
      <c r="E12" s="3"/>
      <c r="F12" s="3"/>
      <c r="G12" s="3"/>
      <c r="H12" s="3"/>
      <c r="I12" s="3"/>
      <c r="J12" s="3"/>
      <c r="K12" s="3"/>
      <c r="L12" s="3"/>
      <c r="M12" s="2">
        <v>240000.0</v>
      </c>
    </row>
    <row r="13" ht="22.5" customHeight="1">
      <c r="A13" s="2">
        <v>2026.0</v>
      </c>
      <c r="B13" s="2">
        <v>15000.0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2">
        <v>260000.0</v>
      </c>
    </row>
    <row r="14">
      <c r="A14" s="24" t="s">
        <v>45</v>
      </c>
      <c r="B14" s="25">
        <v>0.65</v>
      </c>
      <c r="L14" s="26"/>
    </row>
    <row r="15">
      <c r="A15" s="27" t="s">
        <v>46</v>
      </c>
      <c r="B15" s="28">
        <f>SUM(C3:C12)/SUM(B3:B12)</f>
        <v>1.953703704</v>
      </c>
      <c r="C15" s="28">
        <f>SUM(D3:D11)/SUM(C3:C11)</f>
        <v>1.25</v>
      </c>
      <c r="D15" s="28">
        <f>SUM(E3:E10)/SUM(D3:D10)</f>
        <v>1.133156966</v>
      </c>
      <c r="E15" s="28">
        <f>SUM(F3:F9)/SUM(E3:E9)</f>
        <v>1.083725306</v>
      </c>
      <c r="F15" s="28">
        <f>SUM(G3:G8)/SUM(F3:F8)</f>
        <v>1.030982906</v>
      </c>
      <c r="G15" s="28">
        <f>SUM(H3:H7)/SUM(G3:G7)</f>
        <v>1.023653088</v>
      </c>
      <c r="H15" s="28">
        <f>SUM(I3:I6)/SUM(H3:H6)</f>
        <v>1.01188455</v>
      </c>
      <c r="I15" s="28">
        <f>SUM(J3:J5)/SUM(I3:I5)</f>
        <v>1.007092199</v>
      </c>
      <c r="J15" s="28">
        <f>SUM(K3:K4)/SUM(J3:J4)</f>
        <v>1.005904059</v>
      </c>
      <c r="K15" s="25">
        <f>L3/K3</f>
        <v>1.00308642</v>
      </c>
      <c r="L15" s="29"/>
    </row>
    <row r="16">
      <c r="A16" s="27" t="s">
        <v>47</v>
      </c>
      <c r="B16" s="28">
        <f t="shared" ref="B16:K16" si="1">C16*B15</f>
        <v>3.25444828</v>
      </c>
      <c r="C16" s="28">
        <f t="shared" si="1"/>
        <v>1.665783954</v>
      </c>
      <c r="D16" s="28">
        <f t="shared" si="1"/>
        <v>1.332627163</v>
      </c>
      <c r="E16" s="28">
        <f t="shared" si="1"/>
        <v>1.176030508</v>
      </c>
      <c r="F16" s="28">
        <f t="shared" si="1"/>
        <v>1.085173984</v>
      </c>
      <c r="G16" s="28">
        <f t="shared" si="1"/>
        <v>1.052562538</v>
      </c>
      <c r="H16" s="28">
        <f t="shared" si="1"/>
        <v>1.028241453</v>
      </c>
      <c r="I16" s="28">
        <f t="shared" si="1"/>
        <v>1.016164791</v>
      </c>
      <c r="J16" s="28">
        <f t="shared" si="1"/>
        <v>1.009008701</v>
      </c>
      <c r="K16" s="25">
        <f t="shared" si="1"/>
        <v>1.00308642</v>
      </c>
      <c r="L16" s="30">
        <v>1.0</v>
      </c>
    </row>
    <row r="17">
      <c r="L17" s="26"/>
    </row>
    <row r="18">
      <c r="A18" s="27"/>
      <c r="B18" s="31"/>
      <c r="C18" s="27"/>
      <c r="D18" s="32"/>
      <c r="L18" s="26"/>
    </row>
    <row r="19">
      <c r="A19" s="27">
        <v>2016.0</v>
      </c>
      <c r="B19" s="31">
        <f t="shared" ref="B19:J19" si="2">B3 * (C3/B3 - B$15)^2</f>
        <v>42.86694102</v>
      </c>
      <c r="C19" s="31">
        <f t="shared" si="2"/>
        <v>25</v>
      </c>
      <c r="D19" s="31">
        <f t="shared" si="2"/>
        <v>5.618388187</v>
      </c>
      <c r="E19" s="31">
        <f t="shared" si="2"/>
        <v>2.838372316</v>
      </c>
      <c r="F19" s="31">
        <f t="shared" si="2"/>
        <v>0.3314705238</v>
      </c>
      <c r="G19" s="31">
        <f t="shared" si="2"/>
        <v>0.01811003784</v>
      </c>
      <c r="H19" s="31">
        <f t="shared" si="2"/>
        <v>1.02135849</v>
      </c>
      <c r="I19" s="31">
        <f t="shared" si="2"/>
        <v>0.03320538454</v>
      </c>
      <c r="J19" s="31">
        <f t="shared" si="2"/>
        <v>0.1012488113</v>
      </c>
      <c r="K19" s="31"/>
      <c r="L19" s="26"/>
    </row>
    <row r="20">
      <c r="A20" s="27">
        <v>2017.0</v>
      </c>
      <c r="B20" s="31">
        <f t="shared" ref="B20:J20" si="3">B4 * (C4/B4 - B$15)^2</f>
        <v>0.01558797855</v>
      </c>
      <c r="C20" s="31">
        <f t="shared" si="3"/>
        <v>1.453488372</v>
      </c>
      <c r="D20" s="31">
        <f t="shared" si="3"/>
        <v>0.6718736877</v>
      </c>
      <c r="E20" s="31">
        <f t="shared" si="3"/>
        <v>0.1885442701</v>
      </c>
      <c r="F20" s="31">
        <f t="shared" si="3"/>
        <v>0.03050724205</v>
      </c>
      <c r="G20" s="31">
        <f t="shared" si="3"/>
        <v>0.1728341949</v>
      </c>
      <c r="H20" s="31">
        <f t="shared" si="3"/>
        <v>0.4357449239</v>
      </c>
      <c r="I20" s="31">
        <f t="shared" si="3"/>
        <v>0</v>
      </c>
      <c r="J20" s="31">
        <f t="shared" si="3"/>
        <v>0.09197955396</v>
      </c>
      <c r="K20" s="31"/>
      <c r="L20" s="26"/>
    </row>
    <row r="21">
      <c r="A21" s="27">
        <v>2018.0</v>
      </c>
      <c r="B21" s="31">
        <f t="shared" ref="B21:I21" si="4">B5 * (C5/B5 - B$15)^2</f>
        <v>0.5144032922</v>
      </c>
      <c r="C21" s="31">
        <f t="shared" si="4"/>
        <v>1.329787234</v>
      </c>
      <c r="D21" s="31">
        <f t="shared" si="4"/>
        <v>2.151218923</v>
      </c>
      <c r="E21" s="31">
        <f t="shared" si="4"/>
        <v>0.06898851846</v>
      </c>
      <c r="F21" s="31">
        <f t="shared" si="4"/>
        <v>0.7396449704</v>
      </c>
      <c r="G21" s="31">
        <f t="shared" si="4"/>
        <v>0.8423763563</v>
      </c>
      <c r="H21" s="31">
        <f t="shared" si="4"/>
        <v>0.1232269018</v>
      </c>
      <c r="I21" s="31">
        <f t="shared" si="4"/>
        <v>0.02759928065</v>
      </c>
      <c r="J21" s="31"/>
      <c r="K21" s="31"/>
      <c r="L21" s="26"/>
    </row>
    <row r="22">
      <c r="A22" s="27">
        <v>2029.0</v>
      </c>
      <c r="B22" s="31">
        <f t="shared" ref="B22:H22" si="5">B6 * (C6/B6 - B$15)^2</f>
        <v>2.314814815</v>
      </c>
      <c r="C22" s="31">
        <f t="shared" si="5"/>
        <v>1.179245283</v>
      </c>
      <c r="D22" s="31">
        <f t="shared" si="5"/>
        <v>0.6786602907</v>
      </c>
      <c r="E22" s="31">
        <f t="shared" si="5"/>
        <v>1.040842713</v>
      </c>
      <c r="F22" s="31">
        <f t="shared" si="5"/>
        <v>0.001141427423</v>
      </c>
      <c r="G22" s="31">
        <f t="shared" si="5"/>
        <v>0.007465371301</v>
      </c>
      <c r="H22" s="31">
        <f t="shared" si="5"/>
        <v>0.003042639551</v>
      </c>
      <c r="I22" s="31"/>
      <c r="J22" s="31"/>
      <c r="K22" s="31"/>
      <c r="L22" s="26"/>
    </row>
    <row r="23">
      <c r="A23" s="27">
        <v>2020.0</v>
      </c>
      <c r="B23" s="31">
        <f t="shared" ref="B23:G23" si="6">B7 * (C7/B7 - B$15)^2</f>
        <v>5.041152263</v>
      </c>
      <c r="C23" s="31">
        <f t="shared" si="6"/>
        <v>9.533898305</v>
      </c>
      <c r="D23" s="31">
        <f t="shared" si="6"/>
        <v>1.07045781</v>
      </c>
      <c r="E23" s="31">
        <f t="shared" si="6"/>
        <v>0.03109158757</v>
      </c>
      <c r="F23" s="31">
        <f t="shared" si="6"/>
        <v>0.4972057857</v>
      </c>
      <c r="G23" s="31">
        <f t="shared" si="6"/>
        <v>0.428977895</v>
      </c>
      <c r="H23" s="31"/>
      <c r="I23" s="31"/>
      <c r="J23" s="31"/>
      <c r="K23" s="31"/>
    </row>
    <row r="24">
      <c r="A24" s="27">
        <v>2021.0</v>
      </c>
      <c r="B24" s="31">
        <f t="shared" ref="B24:F24" si="7">B8 * (C8/B8 - B$15)^2</f>
        <v>6.757388702</v>
      </c>
      <c r="C24" s="31">
        <f t="shared" si="7"/>
        <v>0</v>
      </c>
      <c r="D24" s="31">
        <f t="shared" si="7"/>
        <v>1.508955205</v>
      </c>
      <c r="E24" s="31">
        <f t="shared" si="7"/>
        <v>1.595152192</v>
      </c>
      <c r="F24" s="31">
        <f t="shared" si="7"/>
        <v>0.04576086307</v>
      </c>
      <c r="G24" s="31"/>
      <c r="H24" s="31"/>
      <c r="I24" s="31"/>
      <c r="J24" s="31"/>
      <c r="K24" s="31"/>
    </row>
    <row r="25">
      <c r="A25" s="27">
        <v>2022.0</v>
      </c>
      <c r="B25" s="31">
        <f t="shared" ref="B25:E25" si="8">B9 * (C9/B9 - B$15)^2</f>
        <v>3.086419753</v>
      </c>
      <c r="C25" s="31">
        <f t="shared" si="8"/>
        <v>3.571428571</v>
      </c>
      <c r="D25" s="31">
        <f t="shared" si="8"/>
        <v>0.9048803875</v>
      </c>
      <c r="E25" s="31">
        <f t="shared" si="8"/>
        <v>1.387790285</v>
      </c>
      <c r="F25" s="31"/>
      <c r="G25" s="31"/>
      <c r="H25" s="31"/>
      <c r="I25" s="31"/>
      <c r="J25" s="31"/>
      <c r="K25" s="31"/>
    </row>
    <row r="26">
      <c r="A26" s="27">
        <v>2023.0</v>
      </c>
      <c r="B26" s="31">
        <f t="shared" ref="B26:D26" si="9">B10 * (C10/B10 - B$15)^2</f>
        <v>0.548696845</v>
      </c>
      <c r="C26" s="31">
        <f t="shared" si="9"/>
        <v>3.205128205</v>
      </c>
      <c r="D26" s="31">
        <f t="shared" si="9"/>
        <v>0.02488421066</v>
      </c>
      <c r="E26" s="31"/>
      <c r="F26" s="31"/>
      <c r="G26" s="31"/>
      <c r="H26" s="31"/>
      <c r="I26" s="31"/>
      <c r="J26" s="31"/>
      <c r="K26" s="31"/>
    </row>
    <row r="27">
      <c r="A27" s="27">
        <v>2024.0</v>
      </c>
      <c r="B27" s="31">
        <f t="shared" ref="B27:C27" si="10">B11 * (C11/B11 - B$15)^2</f>
        <v>0.0311759571</v>
      </c>
      <c r="C27" s="31">
        <f t="shared" si="10"/>
        <v>2.906976744</v>
      </c>
      <c r="D27" s="31"/>
      <c r="E27" s="31"/>
      <c r="F27" s="31"/>
      <c r="G27" s="31"/>
      <c r="H27" s="31"/>
      <c r="I27" s="31"/>
      <c r="J27" s="31"/>
      <c r="K27" s="31"/>
    </row>
    <row r="28">
      <c r="A28" s="27">
        <v>2025.0</v>
      </c>
      <c r="B28" s="31">
        <f>B12 * (C12/B12 - B$15)^2</f>
        <v>12.60288066</v>
      </c>
      <c r="C28" s="31"/>
      <c r="D28" s="31"/>
      <c r="E28" s="31"/>
      <c r="F28" s="31"/>
      <c r="G28" s="31"/>
      <c r="H28" s="31"/>
      <c r="I28" s="31"/>
      <c r="J28" s="31"/>
      <c r="K28" s="31"/>
    </row>
    <row r="29">
      <c r="A29" s="27"/>
      <c r="B29" s="31"/>
    </row>
    <row r="32">
      <c r="A32" s="24" t="s">
        <v>48</v>
      </c>
      <c r="B32" s="31">
        <f>SUM(B19:B28)</f>
        <v>73.77946128</v>
      </c>
      <c r="C32" s="31">
        <f t="shared" ref="C32:J32" si="11">SUM(C19:C27)</f>
        <v>48.17995271</v>
      </c>
      <c r="D32" s="31">
        <f t="shared" si="11"/>
        <v>12.6293187</v>
      </c>
      <c r="E32" s="31">
        <f t="shared" si="11"/>
        <v>7.150781882</v>
      </c>
      <c r="F32" s="31">
        <f t="shared" si="11"/>
        <v>1.645730812</v>
      </c>
      <c r="G32" s="31">
        <f t="shared" si="11"/>
        <v>1.469763855</v>
      </c>
      <c r="H32" s="31">
        <f t="shared" si="11"/>
        <v>1.583372955</v>
      </c>
      <c r="I32" s="31">
        <f t="shared" si="11"/>
        <v>0.06080466519</v>
      </c>
      <c r="J32" s="31">
        <f t="shared" si="11"/>
        <v>0.1932283653</v>
      </c>
    </row>
    <row r="33">
      <c r="A33" s="33" t="s">
        <v>49</v>
      </c>
      <c r="B33" s="27">
        <f>11-0-2</f>
        <v>9</v>
      </c>
      <c r="C33" s="34">
        <f>11-1-2</f>
        <v>8</v>
      </c>
      <c r="D33" s="34">
        <f>11-2-2</f>
        <v>7</v>
      </c>
      <c r="E33" s="34">
        <f>11-3-2</f>
        <v>6</v>
      </c>
      <c r="F33" s="34">
        <f>11-4-2</f>
        <v>5</v>
      </c>
      <c r="G33" s="34">
        <f>11-5-2</f>
        <v>4</v>
      </c>
      <c r="H33" s="34">
        <f>11-6-2</f>
        <v>3</v>
      </c>
      <c r="I33" s="34">
        <f>11-7-2</f>
        <v>2</v>
      </c>
      <c r="J33" s="34">
        <f>11-8-2</f>
        <v>1</v>
      </c>
    </row>
    <row r="34">
      <c r="A34" s="24" t="s">
        <v>50</v>
      </c>
      <c r="B34" s="34">
        <f t="shared" ref="B34:J34" si="12">B32/B33</f>
        <v>8.19771792</v>
      </c>
      <c r="C34" s="34">
        <f t="shared" si="12"/>
        <v>6.022494089</v>
      </c>
      <c r="D34" s="34">
        <f t="shared" si="12"/>
        <v>1.804188386</v>
      </c>
      <c r="E34" s="34">
        <f t="shared" si="12"/>
        <v>1.19179698</v>
      </c>
      <c r="F34" s="34">
        <f t="shared" si="12"/>
        <v>0.3291461625</v>
      </c>
      <c r="G34" s="34">
        <f t="shared" si="12"/>
        <v>0.3674409638</v>
      </c>
      <c r="H34" s="34">
        <f t="shared" si="12"/>
        <v>0.527790985</v>
      </c>
      <c r="I34" s="34">
        <f t="shared" si="12"/>
        <v>0.0304023326</v>
      </c>
      <c r="J34" s="34">
        <f t="shared" si="12"/>
        <v>0.1932283653</v>
      </c>
    </row>
  </sheetData>
  <dataValidations>
    <dataValidation type="custom" allowBlank="1" showDropDown="1" sqref="A2:M13">
      <formula1>AND(ISNUMBER(A2),(NOT(OR(NOT(ISERROR(DATEVALUE(A2))), AND(ISNUMBER(A2), LEFT(CELL("format", A2))="D")))))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  <col customWidth="1" min="2" max="5" width="17.88"/>
    <col customWidth="1" min="6" max="7" width="18.88"/>
    <col customWidth="1" min="8" max="8" width="17.88"/>
    <col customWidth="1" min="9" max="9" width="18.88"/>
    <col customWidth="1" min="10" max="10" width="17.88"/>
    <col customWidth="1" min="11" max="11" width="18.88"/>
    <col customWidth="1" min="13" max="13" width="18.88"/>
    <col customWidth="1" min="16" max="16" width="14.88"/>
  </cols>
  <sheetData>
    <row r="2" ht="22.5" customHeight="1">
      <c r="A2" s="2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35" t="s">
        <v>51</v>
      </c>
    </row>
    <row r="3">
      <c r="A3" s="36">
        <v>2016.0</v>
      </c>
      <c r="B3" s="36">
        <v>20000.0</v>
      </c>
      <c r="C3" s="36">
        <v>40000.0</v>
      </c>
      <c r="D3" s="36">
        <v>49000.0</v>
      </c>
      <c r="E3" s="36">
        <v>55000.0</v>
      </c>
      <c r="F3" s="36">
        <v>60000.0</v>
      </c>
      <c r="G3" s="36">
        <v>62000.0</v>
      </c>
      <c r="H3" s="36">
        <v>63500.0</v>
      </c>
      <c r="I3" s="36">
        <v>64000.0</v>
      </c>
      <c r="J3" s="36">
        <v>64500.0</v>
      </c>
      <c r="K3" s="36">
        <v>64800.0</v>
      </c>
      <c r="L3" s="36">
        <v>65000.0</v>
      </c>
      <c r="M3" s="37">
        <v>0.0</v>
      </c>
    </row>
    <row r="4">
      <c r="A4" s="36">
        <v>2017.0</v>
      </c>
      <c r="B4" s="36">
        <v>22000.0</v>
      </c>
      <c r="C4" s="36">
        <v>43000.0</v>
      </c>
      <c r="D4" s="36">
        <v>54000.0</v>
      </c>
      <c r="E4" s="36">
        <v>61000.0</v>
      </c>
      <c r="F4" s="36">
        <v>66000.0</v>
      </c>
      <c r="G4" s="36">
        <v>68000.0</v>
      </c>
      <c r="H4" s="36">
        <v>69500.0</v>
      </c>
      <c r="I4" s="36">
        <v>70500.0</v>
      </c>
      <c r="J4" s="36">
        <v>71000.0</v>
      </c>
      <c r="K4" s="36">
        <v>71500.0</v>
      </c>
      <c r="L4" s="38">
        <v>71720.67901234567</v>
      </c>
      <c r="M4" s="34">
        <f>(L4^2) * K33 * (1/K4 + 1/K34)</f>
        <v>4572.290312</v>
      </c>
    </row>
    <row r="5">
      <c r="A5" s="36">
        <v>2018.0</v>
      </c>
      <c r="B5" s="36">
        <v>24000.0</v>
      </c>
      <c r="C5" s="36">
        <v>47000.0</v>
      </c>
      <c r="D5" s="36">
        <v>59000.0</v>
      </c>
      <c r="E5" s="36">
        <v>66500.0</v>
      </c>
      <c r="F5" s="36">
        <v>72000.0</v>
      </c>
      <c r="G5" s="36">
        <v>74000.0</v>
      </c>
      <c r="H5" s="36">
        <v>76000.0</v>
      </c>
      <c r="I5" s="36">
        <v>77000.0</v>
      </c>
      <c r="J5" s="36">
        <v>77500.0</v>
      </c>
      <c r="K5" s="38">
        <v>77957.56457564575</v>
      </c>
      <c r="L5" s="38">
        <v>78198.17434285453</v>
      </c>
      <c r="M5" s="39">
        <f>(L5^2) * (J33*(1/J5 + 1/J34) + K33*(1/K5 + 1/K34))</f>
        <v>28907.31167</v>
      </c>
    </row>
    <row r="6">
      <c r="A6" s="36">
        <v>2019.0</v>
      </c>
      <c r="B6" s="36">
        <v>27000.0</v>
      </c>
      <c r="C6" s="36">
        <v>53000.0</v>
      </c>
      <c r="D6" s="36">
        <v>66000.0</v>
      </c>
      <c r="E6" s="36">
        <v>75000.0</v>
      </c>
      <c r="F6" s="36">
        <v>81000.0</v>
      </c>
      <c r="G6" s="36">
        <v>83500.0</v>
      </c>
      <c r="H6" s="36">
        <v>85500.0</v>
      </c>
      <c r="I6" s="36">
        <v>86500.0</v>
      </c>
      <c r="J6" s="38">
        <v>87113.47517730495</v>
      </c>
      <c r="K6" s="38">
        <v>87627.79827798276</v>
      </c>
      <c r="L6" s="38">
        <v>87898.2544455074</v>
      </c>
      <c r="M6" s="39">
        <f>(L6^2) * (I33*(1/I6 + 1/I34) + J33*(1/J6 + 1/J34) + K33*(1/K6 + 1/K34))</f>
        <v>37864.72963</v>
      </c>
    </row>
    <row r="7">
      <c r="A7" s="36">
        <v>2020.0</v>
      </c>
      <c r="B7" s="36">
        <v>30000.0</v>
      </c>
      <c r="C7" s="36">
        <v>59000.0</v>
      </c>
      <c r="D7" s="36">
        <v>73000.0</v>
      </c>
      <c r="E7" s="36">
        <v>83000.0</v>
      </c>
      <c r="F7" s="36">
        <v>90000.0</v>
      </c>
      <c r="G7" s="36">
        <v>93000.0</v>
      </c>
      <c r="H7" s="36">
        <v>95000.0</v>
      </c>
      <c r="I7" s="38">
        <v>96129.03225806452</v>
      </c>
      <c r="J7" s="38">
        <v>96810.79844429191</v>
      </c>
      <c r="K7" s="38">
        <v>97382.3751140737</v>
      </c>
      <c r="L7" s="38">
        <v>97682.93800022826</v>
      </c>
      <c r="M7" s="34">
        <f>(L7^2) * (H33*(1/H7 + 1/H34) + I33*(1/I7 + 1/I34) + J33*(1/J7 + 1/J34) + K33*(1/K7 + 1/K34))</f>
        <v>112483.5866</v>
      </c>
    </row>
    <row r="8">
      <c r="A8" s="36">
        <v>2021.0</v>
      </c>
      <c r="B8" s="36">
        <v>33000.0</v>
      </c>
      <c r="C8" s="36">
        <v>64000.0</v>
      </c>
      <c r="D8" s="36">
        <v>80000.0</v>
      </c>
      <c r="E8" s="36">
        <v>91000.0</v>
      </c>
      <c r="F8" s="36">
        <v>99000.0</v>
      </c>
      <c r="G8" s="36">
        <v>102000.0</v>
      </c>
      <c r="H8" s="38">
        <v>104412.6149802891</v>
      </c>
      <c r="I8" s="38">
        <v>105653.51193251665</v>
      </c>
      <c r="J8" s="38">
        <v>106402.8276199813</v>
      </c>
      <c r="K8" s="38">
        <v>107031.03619633542</v>
      </c>
      <c r="L8" s="38">
        <v>107361.3789006451</v>
      </c>
      <c r="M8" s="39">
        <f>(L8^2) * (G33*(1/G8 + 1/G34) + H33*(1/H8 + 1/H34) + I33*(1/I8 + 1/I34) + J33*(1/J8 + 1/J34) + K33*(1/K8 + 1/K34))
</f>
        <v>177791.6473</v>
      </c>
    </row>
    <row r="9">
      <c r="A9" s="36">
        <v>2022.0</v>
      </c>
      <c r="B9" s="36">
        <v>36000.0</v>
      </c>
      <c r="C9" s="36">
        <v>70000.0</v>
      </c>
      <c r="D9" s="36">
        <v>88000.0</v>
      </c>
      <c r="E9" s="36">
        <v>100000.0</v>
      </c>
      <c r="F9" s="36">
        <v>108000.0</v>
      </c>
      <c r="G9" s="38">
        <v>111346.15384615383</v>
      </c>
      <c r="H9" s="38">
        <v>113979.83422622056</v>
      </c>
      <c r="I9" s="38">
        <v>115334.43327474949</v>
      </c>
      <c r="J9" s="38">
        <v>116152.40797882572</v>
      </c>
      <c r="K9" s="38">
        <v>116838.17865323945</v>
      </c>
      <c r="L9" s="38">
        <v>117198.79031574944</v>
      </c>
      <c r="M9" s="34">
        <f>(L9^2) * (F33*(1/F9 + 1/F34) + G33*(1/G9 + 1/G34) + H33*(1/H9 + 1/H34) + I33*(1/I9 + 1/I34) + J33*(1/J9 + 1/J34) + K33*(1/K9 + 1/K34))
</f>
        <v>247960.2302</v>
      </c>
    </row>
    <row r="10">
      <c r="A10" s="36">
        <v>2023.0</v>
      </c>
      <c r="B10" s="36">
        <v>40000.0</v>
      </c>
      <c r="C10" s="36">
        <v>78000.0</v>
      </c>
      <c r="D10" s="36">
        <v>98000.0</v>
      </c>
      <c r="E10" s="36">
        <v>111000.0</v>
      </c>
      <c r="F10" s="38">
        <v>120293.50893697083</v>
      </c>
      <c r="G10" s="38">
        <v>124020.55141471884</v>
      </c>
      <c r="H10" s="38">
        <v>126954.02043635477</v>
      </c>
      <c r="I10" s="38">
        <v>128462.81185070873</v>
      </c>
      <c r="J10" s="38">
        <v>129373.89562269957</v>
      </c>
      <c r="K10" s="38">
        <v>130137.72674076716</v>
      </c>
      <c r="L10" s="38">
        <v>130539.38639120162</v>
      </c>
      <c r="M10" s="34">
        <f>(L10^2) * (E33*(1/E10 + 1/E34) + F33*(1/F10 + 1/F34) + G33*(1/G10 + 1/G34) + H33*(1/H10 + 1/H34) + I33*(1/I10 + 1/I34) + J33*(1/J10 + 1/J34) + K33*(1/K10 + 1/K34))
</f>
        <v>473822.594</v>
      </c>
    </row>
    <row r="11">
      <c r="A11" s="36">
        <v>2024.0</v>
      </c>
      <c r="B11" s="36">
        <v>44000.0</v>
      </c>
      <c r="C11" s="36">
        <v>86000.0</v>
      </c>
      <c r="D11" s="36">
        <v>108000.0</v>
      </c>
      <c r="E11" s="38">
        <v>122380.95238095238</v>
      </c>
      <c r="F11" s="38">
        <v>132627.33503561348</v>
      </c>
      <c r="G11" s="38">
        <v>136736.51528778524</v>
      </c>
      <c r="H11" s="38">
        <v>139970.75612245034</v>
      </c>
      <c r="I11" s="38">
        <v>141634.24558400747</v>
      </c>
      <c r="J11" s="38">
        <v>142638.74377963872</v>
      </c>
      <c r="K11" s="38">
        <v>143480.89134438935</v>
      </c>
      <c r="L11" s="38">
        <v>143923.73360162514</v>
      </c>
      <c r="M11" s="39">
        <f>(L11^2) * (D33*(1/D11 + 1/D34) + E33*(1/E11 + 1/E34) + F33*(1/F11 + 1/F34) + G33*(1/G11 + 1/G34) + H33*(1/H11 + 1/H34) + I33*(1/I11 + 1/I34) + J33*(1/J11 + 1/J34) + K33*(1/K11 + 1/K34))
</f>
        <v>857211.1069</v>
      </c>
    </row>
    <row r="12">
      <c r="A12" s="36">
        <v>2025.0</v>
      </c>
      <c r="B12" s="36">
        <v>48000.0</v>
      </c>
      <c r="C12" s="36">
        <v>93000.0</v>
      </c>
      <c r="D12" s="38">
        <v>116250.0</v>
      </c>
      <c r="E12" s="38">
        <v>131729.49735449735</v>
      </c>
      <c r="F12" s="38">
        <v>142758.58979527839</v>
      </c>
      <c r="G12" s="38">
        <v>147181.66576115772</v>
      </c>
      <c r="H12" s="38">
        <v>150662.96665958196</v>
      </c>
      <c r="I12" s="38">
        <v>152453.52823278581</v>
      </c>
      <c r="J12" s="38">
        <v>153534.7589294722</v>
      </c>
      <c r="K12" s="38">
        <v>154441.23721097462</v>
      </c>
      <c r="L12" s="38">
        <v>154917.90769619367</v>
      </c>
      <c r="M12" s="39">
        <f>(L12^2) * (C33*(1/C12 + 1/C34) + D33*(1/D12 + 1/D34) + E33*(1/E12 + 1/E34) + F33*(1/F12 + 1/F34) + G33*(1/G12 + 1/G34) + H33*(1/H12 + 1/H34) + I33*(1/I12 + 1/I34) + J33*(1/J12 + 1/J34) + K33*(1/K12 + 1/K34))</f>
        <v>2105246.571</v>
      </c>
    </row>
    <row r="13">
      <c r="A13" s="36">
        <v>2026.0</v>
      </c>
      <c r="B13" s="36">
        <v>15000.0</v>
      </c>
      <c r="C13" s="38">
        <v>29305.555555555555</v>
      </c>
      <c r="D13" s="38">
        <v>36631.944444444445</v>
      </c>
      <c r="E13" s="38">
        <v>41509.74304330786</v>
      </c>
      <c r="F13" s="38">
        <v>44985.15897073439</v>
      </c>
      <c r="G13" s="38">
        <v>46378.92992175073</v>
      </c>
      <c r="H13" s="38">
        <v>47475.93483448597</v>
      </c>
      <c r="I13" s="38">
        <v>48040.16495985338</v>
      </c>
      <c r="J13" s="38">
        <v>48380.875349639566</v>
      </c>
      <c r="K13" s="38">
        <v>48666.51889413928</v>
      </c>
      <c r="L13" s="38">
        <v>48816.7241993681</v>
      </c>
      <c r="M13" s="34">
        <f>(L13^2) * (B33*(1/B13 + 1/B34) + C33*(1/C13 + 1/C34) + D33*(1/D13 + 1/D34) + E33*(1/E13 + 1/E34) + F33*(1/F13 + 1/F34) + G33*(1/G13 + 1/G34) + H33*(1/H13 + 1/H34) + I33*(1/I13 + 1/I34) + J33*(1/J13 + 1/J34) + K33*(1/K13 + 1/K34))</f>
        <v>932988.6748</v>
      </c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1"/>
    </row>
    <row r="15">
      <c r="A15" s="27" t="s">
        <v>46</v>
      </c>
      <c r="B15" s="42">
        <v>1.9537037037037037</v>
      </c>
      <c r="C15" s="42">
        <v>1.25</v>
      </c>
      <c r="D15" s="42">
        <v>1.1331569664902998</v>
      </c>
      <c r="E15" s="42">
        <v>1.083725305738476</v>
      </c>
      <c r="F15" s="42">
        <v>1.0309829059829059</v>
      </c>
      <c r="G15" s="42">
        <v>1.02365308804205</v>
      </c>
      <c r="H15" s="42">
        <v>1.0118845500848896</v>
      </c>
      <c r="I15" s="42">
        <v>1.0070921985815602</v>
      </c>
      <c r="J15" s="42">
        <v>1.0059040590405903</v>
      </c>
      <c r="K15" s="43">
        <v>1.0030864197530864</v>
      </c>
    </row>
    <row r="16">
      <c r="B16" s="42"/>
      <c r="C16" s="42"/>
      <c r="D16" s="42"/>
      <c r="E16" s="42"/>
      <c r="F16" s="42"/>
      <c r="G16" s="42"/>
      <c r="H16" s="42"/>
      <c r="I16" s="42"/>
      <c r="J16" s="42"/>
      <c r="K16" s="42"/>
    </row>
    <row r="17">
      <c r="B17" s="42"/>
      <c r="C17" s="42"/>
      <c r="D17" s="42"/>
      <c r="E17" s="42"/>
      <c r="F17" s="42"/>
      <c r="G17" s="42"/>
      <c r="H17" s="42"/>
      <c r="I17" s="42"/>
      <c r="J17" s="42"/>
      <c r="K17" s="42"/>
    </row>
    <row r="18">
      <c r="B18" s="42"/>
      <c r="C18" s="42"/>
      <c r="D18" s="42"/>
      <c r="E18" s="42"/>
      <c r="F18" s="42"/>
      <c r="G18" s="42"/>
      <c r="H18" s="42"/>
      <c r="I18" s="42"/>
      <c r="J18" s="42"/>
      <c r="K18" s="42"/>
    </row>
    <row r="19">
      <c r="K19" s="42"/>
    </row>
    <row r="32">
      <c r="A32" s="24" t="s">
        <v>50</v>
      </c>
      <c r="B32" s="42">
        <v>8.197717919940134</v>
      </c>
      <c r="C32" s="42">
        <v>6.022494089372717</v>
      </c>
      <c r="D32" s="42">
        <v>1.8041883860895713</v>
      </c>
      <c r="E32" s="42">
        <v>1.1917969803318167</v>
      </c>
      <c r="F32" s="42">
        <v>0.3291461624795211</v>
      </c>
      <c r="G32" s="42">
        <v>0.3674409638264896</v>
      </c>
      <c r="H32" s="42">
        <v>0.5277909850418973</v>
      </c>
      <c r="I32" s="42">
        <v>0.030402332596478874</v>
      </c>
      <c r="J32" s="42">
        <v>0.19322836530034065</v>
      </c>
      <c r="K32" s="34">
        <f>MIN(J32^2/I32, MIN(B32:J32))</f>
        <v>0.0304023326</v>
      </c>
    </row>
    <row r="33">
      <c r="A33" s="33" t="s">
        <v>52</v>
      </c>
      <c r="B33" s="34">
        <f t="shared" ref="B33:K33" si="1">B32/(B15^2)</f>
        <v>2.147709661</v>
      </c>
      <c r="C33" s="34">
        <f t="shared" si="1"/>
        <v>3.854396217</v>
      </c>
      <c r="D33" s="34">
        <f t="shared" si="1"/>
        <v>1.405082215</v>
      </c>
      <c r="E33" s="34">
        <f t="shared" si="1"/>
        <v>1.014761196</v>
      </c>
      <c r="F33" s="34">
        <f t="shared" si="1"/>
        <v>0.30966054</v>
      </c>
      <c r="G33" s="34">
        <f t="shared" si="1"/>
        <v>0.3506565615</v>
      </c>
      <c r="H33" s="34">
        <f t="shared" si="1"/>
        <v>0.515466016</v>
      </c>
      <c r="I33" s="34">
        <f t="shared" si="1"/>
        <v>0.02997563848</v>
      </c>
      <c r="J33" s="34">
        <f t="shared" si="1"/>
        <v>0.1909667507</v>
      </c>
      <c r="K33" s="34">
        <f t="shared" si="1"/>
        <v>0.03021552915</v>
      </c>
    </row>
    <row r="34">
      <c r="A34" s="33" t="s">
        <v>53</v>
      </c>
      <c r="B34" s="31">
        <f>SUM(B3:B12)</f>
        <v>324000</v>
      </c>
      <c r="C34" s="31">
        <f>SUM(C3:C11)</f>
        <v>540000</v>
      </c>
      <c r="D34" s="31">
        <f>SUM(D3:D10)</f>
        <v>567000</v>
      </c>
      <c r="E34" s="31">
        <f>SUM(E3:E9)</f>
        <v>531500</v>
      </c>
      <c r="F34" s="31">
        <f>SUM(F3:F8)</f>
        <v>468000</v>
      </c>
      <c r="G34" s="31">
        <f>SUM(G3:G7)</f>
        <v>380500</v>
      </c>
      <c r="H34" s="31">
        <f>SUM(H3:H6)</f>
        <v>294500</v>
      </c>
      <c r="I34" s="31">
        <f>SUM(I3:I5)</f>
        <v>211500</v>
      </c>
      <c r="J34" s="31">
        <f>SUM(J3:J4)</f>
        <v>135500</v>
      </c>
      <c r="K34" s="31">
        <f>SUM(K3)</f>
        <v>64800</v>
      </c>
    </row>
    <row r="35">
      <c r="A35" s="33" t="s">
        <v>54</v>
      </c>
      <c r="B35" s="34">
        <f t="shared" ref="B35:K35" si="2">B33/B34</f>
        <v>0.000006628733522</v>
      </c>
      <c r="C35" s="34">
        <f t="shared" si="2"/>
        <v>0.000007137770773</v>
      </c>
      <c r="D35" s="34">
        <f t="shared" si="2"/>
        <v>0.000002478099144</v>
      </c>
      <c r="E35" s="34">
        <f t="shared" si="2"/>
        <v>0.000001909240256</v>
      </c>
      <c r="F35" s="34">
        <f t="shared" si="2"/>
        <v>0.0000006616678205</v>
      </c>
      <c r="G35" s="34">
        <f t="shared" si="2"/>
        <v>0.0000009215678356</v>
      </c>
      <c r="H35" s="34">
        <f t="shared" si="2"/>
        <v>0.000001750309052</v>
      </c>
      <c r="I35" s="34">
        <f t="shared" si="2"/>
        <v>0.0000001417287871</v>
      </c>
      <c r="J35" s="34">
        <f t="shared" si="2"/>
        <v>0.000001409348713</v>
      </c>
      <c r="K35" s="34">
        <f t="shared" si="2"/>
        <v>0.0000004662890301</v>
      </c>
    </row>
    <row r="37" ht="22.5" customHeight="1">
      <c r="A37" s="6" t="s">
        <v>55</v>
      </c>
      <c r="B37" s="1" t="s">
        <v>56</v>
      </c>
      <c r="C37" s="1" t="s">
        <v>57</v>
      </c>
      <c r="D37" s="1" t="s">
        <v>58</v>
      </c>
      <c r="E37" s="1" t="s">
        <v>59</v>
      </c>
      <c r="F37" s="1" t="s">
        <v>60</v>
      </c>
      <c r="G37" s="1" t="s">
        <v>61</v>
      </c>
      <c r="H37" s="1" t="s">
        <v>62</v>
      </c>
      <c r="I37" s="1" t="s">
        <v>63</v>
      </c>
      <c r="J37" s="1" t="s">
        <v>64</v>
      </c>
      <c r="K37" s="1" t="s">
        <v>65</v>
      </c>
      <c r="L37" s="1" t="s">
        <v>66</v>
      </c>
    </row>
    <row r="38" ht="22.5" customHeight="1">
      <c r="A38" s="44">
        <v>2016.0</v>
      </c>
      <c r="B38" s="44">
        <v>0.0</v>
      </c>
      <c r="C38" s="44">
        <v>0.0</v>
      </c>
      <c r="D38" s="44">
        <v>0.0</v>
      </c>
      <c r="E38" s="44">
        <v>0.0</v>
      </c>
      <c r="F38" s="44">
        <v>0.0</v>
      </c>
      <c r="G38" s="44">
        <v>0.0</v>
      </c>
      <c r="H38" s="44">
        <v>0.0</v>
      </c>
      <c r="I38" s="44">
        <v>0.0</v>
      </c>
      <c r="J38" s="44">
        <v>0.0</v>
      </c>
      <c r="K38" s="44">
        <v>0.0</v>
      </c>
      <c r="L38" s="44">
        <v>0.0</v>
      </c>
    </row>
    <row r="39" ht="22.5" customHeight="1">
      <c r="A39" s="44">
        <v>2017.0</v>
      </c>
      <c r="D39" s="45">
        <f t="shared" ref="D39:L39" si="3">2 * $L$4 * INDEX($L$3:$L$13, COLUMN()-1) * $K$35</f>
        <v>5230.295191</v>
      </c>
      <c r="E39" s="45">
        <f t="shared" si="3"/>
        <v>5879.086326</v>
      </c>
      <c r="F39" s="45">
        <f t="shared" si="3"/>
        <v>6533.536174</v>
      </c>
      <c r="G39" s="45">
        <f t="shared" si="3"/>
        <v>7180.879969</v>
      </c>
      <c r="H39" s="45">
        <f t="shared" si="3"/>
        <v>7838.856527</v>
      </c>
      <c r="I39" s="45">
        <f t="shared" si="3"/>
        <v>8731.144052</v>
      </c>
      <c r="J39" s="45">
        <f t="shared" si="3"/>
        <v>9626.357878</v>
      </c>
      <c r="K39" s="45">
        <f t="shared" si="3"/>
        <v>10361.70466</v>
      </c>
      <c r="L39" s="45">
        <f t="shared" si="3"/>
        <v>3265.113028</v>
      </c>
    </row>
    <row r="40" ht="22.5" customHeight="1">
      <c r="A40" s="44">
        <v>2018.0</v>
      </c>
      <c r="E40" s="45">
        <f t="shared" ref="E40:L40" si="4">2 * $L$5 * INDEX($L$3:$L$13, COLUMN()-1) * SUM($J$35:$K$35)</f>
        <v>25784.32838</v>
      </c>
      <c r="F40" s="45">
        <f t="shared" si="4"/>
        <v>28654.59578</v>
      </c>
      <c r="G40" s="45">
        <f t="shared" si="4"/>
        <v>31493.69765</v>
      </c>
      <c r="H40" s="45">
        <f t="shared" si="4"/>
        <v>34379.43239</v>
      </c>
      <c r="I40" s="45">
        <f t="shared" si="4"/>
        <v>38292.80145</v>
      </c>
      <c r="J40" s="45">
        <f t="shared" si="4"/>
        <v>42219.00461</v>
      </c>
      <c r="K40" s="45">
        <f t="shared" si="4"/>
        <v>45444.06746</v>
      </c>
      <c r="L40" s="45">
        <f t="shared" si="4"/>
        <v>14320.03918</v>
      </c>
    </row>
    <row r="41" ht="22.5" customHeight="1">
      <c r="A41" s="44">
        <v>2019.0</v>
      </c>
      <c r="F41" s="45">
        <f t="shared" ref="F41:L41" si="5">2 * $L$6 * INDEX($L$3:$L$13, COLUMN()-1) * SUM($I$35:$K$35)</f>
        <v>34642.86257</v>
      </c>
      <c r="G41" s="45">
        <f t="shared" si="5"/>
        <v>38075.28286</v>
      </c>
      <c r="H41" s="45">
        <f t="shared" si="5"/>
        <v>41564.0814</v>
      </c>
      <c r="I41" s="45">
        <f t="shared" si="5"/>
        <v>46295.27034</v>
      </c>
      <c r="J41" s="45">
        <f t="shared" si="5"/>
        <v>51041.97545</v>
      </c>
      <c r="K41" s="45">
        <f t="shared" si="5"/>
        <v>54941.01524</v>
      </c>
      <c r="L41" s="45">
        <f t="shared" si="5"/>
        <v>17312.65564</v>
      </c>
    </row>
    <row r="42" ht="22.5" customHeight="1">
      <c r="A42" s="44">
        <v>2020.0</v>
      </c>
      <c r="G42" s="45">
        <f t="shared" ref="G42:L42" si="6">2 * $L$7 * INDEX($L$3:$L$13, COLUMN()-1) * SUM($H$35:$K$35)</f>
        <v>79026.05282</v>
      </c>
      <c r="H42" s="45">
        <f t="shared" si="6"/>
        <v>86267.1278</v>
      </c>
      <c r="I42" s="45">
        <f t="shared" si="6"/>
        <v>96086.81027</v>
      </c>
      <c r="J42" s="45">
        <f t="shared" si="6"/>
        <v>105938.6969</v>
      </c>
      <c r="K42" s="45">
        <f t="shared" si="6"/>
        <v>114031.2362</v>
      </c>
      <c r="L42" s="45">
        <f t="shared" si="6"/>
        <v>35932.78202</v>
      </c>
    </row>
    <row r="43" ht="22.5" customHeight="1">
      <c r="A43" s="44">
        <v>2021.0</v>
      </c>
      <c r="H43" s="45">
        <f t="shared" ref="H43:L43" si="7">2 * $L$8 * INDEX($L$3:$L$13, COLUMN()-1) * SUM($G$35:$K$35)</f>
        <v>118005.9711</v>
      </c>
      <c r="I43" s="45">
        <f t="shared" si="7"/>
        <v>131438.4475</v>
      </c>
      <c r="J43" s="45">
        <f t="shared" si="7"/>
        <v>144914.9765</v>
      </c>
      <c r="K43" s="45">
        <f t="shared" si="7"/>
        <v>155984.8705</v>
      </c>
      <c r="L43" s="45">
        <f t="shared" si="7"/>
        <v>49152.93859</v>
      </c>
    </row>
    <row r="44" ht="22.5" customHeight="1">
      <c r="A44" s="44">
        <v>2022.0</v>
      </c>
      <c r="I44" s="45">
        <f t="shared" ref="I44:L44" si="8">2 * $L$9 * INDEX($L$3:$L$13, COLUMN()-1) * SUM($F$35:$K$35)</f>
        <v>163727.8047</v>
      </c>
      <c r="J44" s="45">
        <f t="shared" si="8"/>
        <v>180514.997</v>
      </c>
      <c r="K44" s="45">
        <f t="shared" si="8"/>
        <v>194304.337</v>
      </c>
      <c r="L44" s="45">
        <f t="shared" si="8"/>
        <v>61227.91982</v>
      </c>
    </row>
    <row r="45" ht="22.5" customHeight="1">
      <c r="A45" s="44">
        <v>2023.0</v>
      </c>
      <c r="J45" s="45">
        <f t="shared" ref="J45:L45" si="9">2 * $L$10 * INDEX($L$3:$L$13, COLUMN()-1) * SUM($E$35:$K$35)</f>
        <v>272803.3269</v>
      </c>
      <c r="K45" s="45">
        <f t="shared" si="9"/>
        <v>293642.47</v>
      </c>
      <c r="L45" s="45">
        <f t="shared" si="9"/>
        <v>92530.70664</v>
      </c>
    </row>
    <row r="46" ht="22.5" customHeight="1">
      <c r="A46" s="44">
        <v>2024.0</v>
      </c>
      <c r="K46" s="45">
        <f t="shared" ref="K46:L46" si="10">2 * $L$11 * INDEX($L$3:$L$13, COLUMN()-1) * SUM($D$35:$K$35)</f>
        <v>434255.1557</v>
      </c>
      <c r="L46" s="45">
        <f t="shared" si="10"/>
        <v>136839.6623</v>
      </c>
    </row>
    <row r="47" ht="22.5" customHeight="1">
      <c r="A47" s="44">
        <v>2025.0</v>
      </c>
      <c r="L47" s="45">
        <f>2 * $L$12 * $L$13 * SUM($C$35:$K$35)</f>
        <v>255252.6851</v>
      </c>
    </row>
    <row r="48" ht="22.5" customHeight="1">
      <c r="A48" s="44">
        <v>2026.0</v>
      </c>
      <c r="B48" s="44">
        <v>0.0</v>
      </c>
      <c r="C48" s="44">
        <v>0.0</v>
      </c>
      <c r="D48" s="44">
        <v>0.0</v>
      </c>
      <c r="E48" s="44">
        <v>0.0</v>
      </c>
      <c r="F48" s="44">
        <v>0.0</v>
      </c>
      <c r="G48" s="44">
        <v>0.0</v>
      </c>
      <c r="H48" s="44">
        <v>0.0</v>
      </c>
      <c r="I48" s="44">
        <v>0.0</v>
      </c>
      <c r="J48" s="44">
        <v>0.0</v>
      </c>
      <c r="K48" s="44">
        <v>0.0</v>
      </c>
      <c r="L48" s="44">
        <v>0.0</v>
      </c>
    </row>
    <row r="51">
      <c r="A51" s="24" t="s">
        <v>67</v>
      </c>
      <c r="B51" s="28">
        <f>SUM(B38:L48)</f>
        <v>3810987.06</v>
      </c>
    </row>
    <row r="54">
      <c r="A54" s="24" t="s">
        <v>68</v>
      </c>
      <c r="B54" s="28">
        <f>SUM(M3:M13)</f>
        <v>4978848.743</v>
      </c>
    </row>
    <row r="56">
      <c r="A56" s="24" t="s">
        <v>69</v>
      </c>
      <c r="B56" s="28">
        <f>SUM(B51:B54)</f>
        <v>8789835.802</v>
      </c>
    </row>
    <row r="58">
      <c r="A58" s="24" t="s">
        <v>70</v>
      </c>
      <c r="B58" s="28">
        <f>SQRT(B56)</f>
        <v>2964.765725</v>
      </c>
    </row>
    <row r="61">
      <c r="A61" s="24" t="s">
        <v>71</v>
      </c>
      <c r="B61" s="46">
        <v>254102.51201439666</v>
      </c>
    </row>
    <row r="63">
      <c r="A63" s="24" t="s">
        <v>72</v>
      </c>
      <c r="B63" s="28">
        <f>(B58/B61)^2</f>
        <v>0.0001361328214</v>
      </c>
    </row>
    <row r="65">
      <c r="A65" s="24" t="s">
        <v>73</v>
      </c>
      <c r="B65" s="28">
        <f>SQRT(LN(1+B63))</f>
        <v>0.01166720001</v>
      </c>
    </row>
    <row r="67">
      <c r="A67" s="24" t="s">
        <v>74</v>
      </c>
      <c r="B67" s="28">
        <f>LN(B61)-(B65^2)/2</f>
        <v>12.44542499</v>
      </c>
    </row>
    <row r="69">
      <c r="A69" s="24" t="s">
        <v>75</v>
      </c>
      <c r="B69" s="28">
        <f>_xlfn.LOGNORM.INV(0.995, B67, B65)</f>
        <v>261837.0674</v>
      </c>
    </row>
    <row r="71">
      <c r="A71" s="24" t="s">
        <v>76</v>
      </c>
      <c r="B71" s="46">
        <f>B69-B61</f>
        <v>7734.555382</v>
      </c>
    </row>
    <row r="73">
      <c r="A73" s="24" t="s">
        <v>77</v>
      </c>
      <c r="B73" s="28">
        <f>_xlfn.LOGNORM.INV(0.025,B67,B65)</f>
        <v>248340.9058</v>
      </c>
    </row>
    <row r="75">
      <c r="A75" s="24" t="s">
        <v>78</v>
      </c>
      <c r="B75" s="28">
        <f>_xlfn.LOGNORM.INV(0.975,B67,B65)</f>
        <v>259962.4003</v>
      </c>
    </row>
    <row r="76">
      <c r="A76" s="24">
        <v>2027.0</v>
      </c>
      <c r="B76" s="28">
        <v>0.0</v>
      </c>
      <c r="C76" s="28">
        <v>0.0</v>
      </c>
      <c r="D76" s="28">
        <v>0.0</v>
      </c>
      <c r="E76" s="28">
        <v>0.0</v>
      </c>
      <c r="F76" s="28">
        <v>0.0</v>
      </c>
      <c r="G76" s="28">
        <v>0.0</v>
      </c>
      <c r="H76" s="28">
        <v>0.0</v>
      </c>
      <c r="I76" s="28">
        <v>0.0</v>
      </c>
      <c r="J76" s="28">
        <v>0.0</v>
      </c>
      <c r="K76" s="28">
        <v>0.0</v>
      </c>
      <c r="L76" s="28">
        <v>0.0</v>
      </c>
      <c r="M76" s="28">
        <v>0.0</v>
      </c>
    </row>
    <row r="77">
      <c r="A77" s="24">
        <v>2027.0</v>
      </c>
      <c r="B77" s="28">
        <v>0.0</v>
      </c>
      <c r="C77" s="28">
        <v>0.0</v>
      </c>
      <c r="D77" s="28">
        <v>0.0</v>
      </c>
      <c r="E77" s="28">
        <v>0.0</v>
      </c>
      <c r="F77" s="28">
        <v>0.0</v>
      </c>
      <c r="G77" s="28">
        <v>0.0</v>
      </c>
      <c r="H77" s="28">
        <v>0.0</v>
      </c>
      <c r="I77" s="28">
        <v>0.0</v>
      </c>
      <c r="J77" s="28">
        <v>0.0</v>
      </c>
      <c r="K77" s="28">
        <v>0.0</v>
      </c>
      <c r="L77" s="28">
        <v>0.0</v>
      </c>
      <c r="M77" s="28">
        <v>0.0</v>
      </c>
    </row>
    <row r="78">
      <c r="A78" s="24">
        <v>2027.0</v>
      </c>
      <c r="B78" s="28">
        <v>0.0</v>
      </c>
      <c r="C78" s="28">
        <v>0.0</v>
      </c>
      <c r="D78" s="28">
        <v>0.0</v>
      </c>
      <c r="E78" s="28">
        <v>0.0</v>
      </c>
      <c r="F78" s="28">
        <v>0.0</v>
      </c>
      <c r="G78" s="28">
        <v>0.0</v>
      </c>
      <c r="H78" s="28">
        <v>0.0</v>
      </c>
      <c r="I78" s="28">
        <v>0.0</v>
      </c>
      <c r="J78" s="28">
        <v>0.0</v>
      </c>
      <c r="K78" s="28">
        <v>0.0</v>
      </c>
      <c r="L78" s="28">
        <v>0.0</v>
      </c>
      <c r="M78" s="28">
        <v>0.0</v>
      </c>
    </row>
    <row r="79">
      <c r="A79" s="24">
        <v>2027.0</v>
      </c>
      <c r="B79" s="28">
        <v>0.0</v>
      </c>
      <c r="C79" s="28">
        <v>0.0</v>
      </c>
      <c r="D79" s="28">
        <v>0.0</v>
      </c>
      <c r="E79" s="28">
        <v>0.0</v>
      </c>
      <c r="F79" s="28">
        <v>0.0</v>
      </c>
      <c r="G79" s="28">
        <v>0.0</v>
      </c>
      <c r="H79" s="28">
        <v>0.0</v>
      </c>
      <c r="I79" s="28">
        <v>0.0</v>
      </c>
      <c r="J79" s="28">
        <v>0.0</v>
      </c>
      <c r="K79" s="28">
        <v>0.0</v>
      </c>
      <c r="L79" s="28">
        <v>0.0</v>
      </c>
      <c r="M79" s="28">
        <v>0.0</v>
      </c>
    </row>
    <row r="80">
      <c r="A80" s="24">
        <v>2027.0</v>
      </c>
      <c r="B80" s="28">
        <v>0.0</v>
      </c>
      <c r="C80" s="28">
        <v>0.0</v>
      </c>
      <c r="D80" s="28">
        <v>0.0</v>
      </c>
      <c r="E80" s="28">
        <v>0.0</v>
      </c>
      <c r="F80" s="28">
        <v>0.0</v>
      </c>
      <c r="G80" s="28">
        <v>0.0</v>
      </c>
      <c r="H80" s="28">
        <v>0.0</v>
      </c>
      <c r="I80" s="28">
        <v>0.0</v>
      </c>
      <c r="J80" s="28">
        <v>0.0</v>
      </c>
      <c r="K80" s="28">
        <v>0.0</v>
      </c>
      <c r="L80" s="28">
        <v>0.0</v>
      </c>
      <c r="M80" s="28">
        <v>0.0</v>
      </c>
    </row>
    <row r="81">
      <c r="A81" s="24">
        <v>2027.0</v>
      </c>
      <c r="B81" s="28">
        <v>0.0</v>
      </c>
      <c r="C81" s="28">
        <v>0.0</v>
      </c>
      <c r="D81" s="28">
        <v>0.0</v>
      </c>
      <c r="E81" s="28">
        <v>0.0</v>
      </c>
      <c r="F81" s="28">
        <v>0.0</v>
      </c>
      <c r="G81" s="28">
        <v>0.0</v>
      </c>
      <c r="H81" s="28">
        <v>0.0</v>
      </c>
      <c r="I81" s="28">
        <v>0.0</v>
      </c>
      <c r="J81" s="28">
        <v>0.0</v>
      </c>
      <c r="K81" s="28">
        <v>0.0</v>
      </c>
      <c r="L81" s="28">
        <v>0.0</v>
      </c>
      <c r="M81" s="28">
        <v>0.0</v>
      </c>
    </row>
  </sheetData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2" ht="22.5" customHeight="1">
      <c r="A2" s="47" t="s">
        <v>79</v>
      </c>
      <c r="B2" s="47" t="s">
        <v>80</v>
      </c>
      <c r="C2" s="47" t="s">
        <v>81</v>
      </c>
      <c r="D2" s="47" t="s">
        <v>82</v>
      </c>
    </row>
    <row r="3" ht="22.5" customHeight="1">
      <c r="A3" s="48">
        <v>2016.0</v>
      </c>
      <c r="B3" s="48">
        <v>0.0</v>
      </c>
      <c r="C3" s="48">
        <v>0.0</v>
      </c>
      <c r="D3" s="48">
        <v>0.0</v>
      </c>
    </row>
    <row r="4" ht="22.5" customHeight="1">
      <c r="A4" s="48">
        <v>2017.0</v>
      </c>
      <c r="B4" s="48">
        <v>220.6790123</v>
      </c>
      <c r="C4" s="48">
        <v>220.0</v>
      </c>
      <c r="D4" s="48">
        <v>220.679</v>
      </c>
    </row>
    <row r="5" ht="22.5" customHeight="1">
      <c r="A5" s="48">
        <v>2018.0</v>
      </c>
      <c r="B5" s="48">
        <v>698.1743429</v>
      </c>
      <c r="C5" s="48">
        <v>696.405</v>
      </c>
      <c r="D5" s="48">
        <v>698.174</v>
      </c>
    </row>
    <row r="6" ht="22.5" customHeight="1">
      <c r="A6" s="48">
        <v>2019.0</v>
      </c>
      <c r="B6" s="48">
        <v>1535.655171</v>
      </c>
      <c r="C6" s="48">
        <v>1395.9</v>
      </c>
      <c r="D6" s="48">
        <v>1535.66</v>
      </c>
    </row>
    <row r="7" ht="22.5" customHeight="1">
      <c r="A7" s="48">
        <v>2020.0</v>
      </c>
      <c r="B7" s="48">
        <v>2880.628169</v>
      </c>
      <c r="C7" s="48">
        <v>2677.91</v>
      </c>
      <c r="D7" s="48">
        <v>2880.63</v>
      </c>
    </row>
    <row r="8" ht="22.5" customHeight="1">
      <c r="A8" s="48">
        <v>2021.0</v>
      </c>
      <c r="B8" s="48">
        <v>5676.75413</v>
      </c>
      <c r="C8" s="48">
        <v>5355.82</v>
      </c>
      <c r="D8" s="48">
        <v>5676.75</v>
      </c>
    </row>
    <row r="9" ht="22.5" customHeight="1">
      <c r="A9" s="48">
        <v>2022.0</v>
      </c>
      <c r="B9" s="48">
        <v>9198.790316</v>
      </c>
      <c r="C9" s="48">
        <v>9183.19</v>
      </c>
      <c r="D9" s="48">
        <v>9198.79</v>
      </c>
    </row>
    <row r="10" ht="22.5" customHeight="1">
      <c r="A10" s="48">
        <v>2023.0</v>
      </c>
      <c r="B10" s="48">
        <v>19539.38639</v>
      </c>
      <c r="C10" s="48">
        <v>19458.6</v>
      </c>
      <c r="D10" s="48">
        <v>19539.4</v>
      </c>
    </row>
    <row r="11" ht="22.5" customHeight="1">
      <c r="A11" s="48">
        <v>2024.0</v>
      </c>
      <c r="B11" s="48">
        <v>35923.7336</v>
      </c>
      <c r="C11" s="48">
        <v>35693.2</v>
      </c>
      <c r="D11" s="48">
        <v>35923.7</v>
      </c>
    </row>
    <row r="12" ht="22.5" customHeight="1">
      <c r="A12" s="48">
        <v>2025.0</v>
      </c>
      <c r="B12" s="48">
        <v>61917.9077</v>
      </c>
      <c r="C12" s="48">
        <v>62350.40057</v>
      </c>
      <c r="D12" s="48">
        <v>62350.40057</v>
      </c>
    </row>
    <row r="13" ht="22.5" customHeight="1">
      <c r="A13" s="48">
        <v>2026.0</v>
      </c>
      <c r="B13" s="48">
        <v>33816.7242</v>
      </c>
      <c r="C13" s="48">
        <v>117071.0752</v>
      </c>
      <c r="D13" s="48">
        <v>117071.0752</v>
      </c>
    </row>
  </sheetData>
  <dataValidations>
    <dataValidation type="custom" allowBlank="1" showDropDown="1" sqref="A3:D13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2" ht="22.5" customHeight="1">
      <c r="A2" s="47" t="s">
        <v>79</v>
      </c>
      <c r="B2" s="47" t="s">
        <v>83</v>
      </c>
    </row>
    <row r="3" ht="22.5" customHeight="1">
      <c r="A3" s="48">
        <v>2016.0</v>
      </c>
      <c r="B3" s="48">
        <v>0.65</v>
      </c>
    </row>
    <row r="4" ht="22.5" customHeight="1">
      <c r="A4" s="48">
        <v>2017.0</v>
      </c>
      <c r="B4" s="48">
        <v>0.652006172727272</v>
      </c>
    </row>
    <row r="5" ht="22.5" customHeight="1">
      <c r="A5" s="48">
        <v>2018.0</v>
      </c>
      <c r="B5" s="48">
        <v>0.65165145</v>
      </c>
    </row>
    <row r="6" ht="22.5" customHeight="1">
      <c r="A6" s="48">
        <v>2019.0</v>
      </c>
      <c r="B6" s="48">
        <v>0.715078962962963</v>
      </c>
    </row>
    <row r="7" ht="22.5" customHeight="1">
      <c r="A7" s="48">
        <v>2020.0</v>
      </c>
      <c r="B7" s="48">
        <v>0.6992042</v>
      </c>
    </row>
    <row r="8" ht="22.5" customHeight="1">
      <c r="A8" s="48">
        <v>2021.0</v>
      </c>
      <c r="B8" s="48">
        <v>0.68895</v>
      </c>
    </row>
    <row r="9" ht="22.5" customHeight="1">
      <c r="A9" s="48">
        <v>2022.0</v>
      </c>
      <c r="B9" s="48">
        <v>0.651104388888888</v>
      </c>
    </row>
    <row r="10" ht="22.5" customHeight="1">
      <c r="A10" s="48">
        <v>2023.0</v>
      </c>
      <c r="B10" s="48">
        <v>0.652697</v>
      </c>
    </row>
    <row r="11" ht="22.5" customHeight="1">
      <c r="A11" s="48">
        <v>2024.0</v>
      </c>
      <c r="B11" s="48">
        <v>0.654198636363636</v>
      </c>
    </row>
    <row r="12" ht="22.5" customHeight="1">
      <c r="A12" s="48">
        <v>2025.0</v>
      </c>
      <c r="B12" s="48">
        <v>0.647293335708333</v>
      </c>
    </row>
    <row r="13" ht="22.5" customHeight="1">
      <c r="A13" s="48">
        <v>2026.0</v>
      </c>
      <c r="B13" s="48">
        <v>0.507965673846153</v>
      </c>
    </row>
  </sheetData>
  <dataValidations>
    <dataValidation type="custom" allowBlank="1" showDropDown="1" sqref="A3:B13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