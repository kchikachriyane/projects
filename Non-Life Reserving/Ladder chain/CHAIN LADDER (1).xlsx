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4280966CA7959B1/Documents/"/>
    </mc:Choice>
  </mc:AlternateContent>
  <xr:revisionPtr revIDLastSave="35" documentId="8_{74E55C83-F6CE-4203-A6B3-4246D250C9BE}" xr6:coauthVersionLast="47" xr6:coauthVersionMax="47" xr10:uidLastSave="{1CCBF607-B753-45C7-8742-3DAC4BF8B6FD}"/>
  <bookViews>
    <workbookView minimized="1" xWindow="1080" yWindow="1080" windowWidth="17280" windowHeight="8880" xr2:uid="{00000000-000D-0000-FFFF-FFFF00000000}"/>
  </bookViews>
  <sheets>
    <sheet name="1- Reglements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2" l="1"/>
  <c r="C6" i="2"/>
  <c r="D44" i="2" s="1"/>
  <c r="AJ43" i="2"/>
  <c r="AE6" i="2"/>
  <c r="AF16" i="2" s="1"/>
  <c r="AF6" i="2"/>
  <c r="AG15" i="2" s="1"/>
  <c r="K6" i="2"/>
  <c r="L36" i="2" s="1"/>
  <c r="L6" i="2"/>
  <c r="M35" i="2" s="1"/>
  <c r="F6" i="2"/>
  <c r="G41" i="2" s="1"/>
  <c r="E6" i="2"/>
  <c r="F42" i="2" s="1"/>
  <c r="D6" i="2"/>
  <c r="E43" i="2" s="1"/>
  <c r="AI13" i="2"/>
  <c r="AK13" i="2" s="1"/>
  <c r="AJ14" i="2"/>
  <c r="AJ13" i="2"/>
  <c r="AA6" i="2"/>
  <c r="AB20" i="2" s="1"/>
  <c r="AB6" i="2"/>
  <c r="AC19" i="2" s="1"/>
  <c r="AC6" i="2"/>
  <c r="AD18" i="2" s="1"/>
  <c r="AD6" i="2"/>
  <c r="AE17" i="2" s="1"/>
  <c r="G6" i="2"/>
  <c r="H40" i="2" s="1"/>
  <c r="H6" i="2"/>
  <c r="I39" i="2" s="1"/>
  <c r="I6" i="2"/>
  <c r="J38" i="2" s="1"/>
  <c r="J6" i="2"/>
  <c r="K37" i="2" s="1"/>
  <c r="M6" i="2"/>
  <c r="N34" i="2" s="1"/>
  <c r="O6" i="2"/>
  <c r="P32" i="2" s="1"/>
  <c r="N6" i="2"/>
  <c r="O33" i="2" s="1"/>
  <c r="P6" i="2"/>
  <c r="Q31" i="2" s="1"/>
  <c r="Q6" i="2"/>
  <c r="R30" i="2" s="1"/>
  <c r="R6" i="2"/>
  <c r="S29" i="2" s="1"/>
  <c r="S6" i="2"/>
  <c r="T28" i="2" s="1"/>
  <c r="T6" i="2"/>
  <c r="U27" i="2" s="1"/>
  <c r="U6" i="2"/>
  <c r="V26" i="2" s="1"/>
  <c r="V6" i="2"/>
  <c r="W25" i="2" s="1"/>
  <c r="W6" i="2"/>
  <c r="X24" i="2" s="1"/>
  <c r="X6" i="2"/>
  <c r="Y23" i="2" s="1"/>
  <c r="Y6" i="2"/>
  <c r="Z22" i="2" s="1"/>
  <c r="Z6" i="2"/>
  <c r="AA21" i="2" s="1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4" i="2"/>
  <c r="AJ45" i="2" s="1"/>
  <c r="AH15" i="2" l="1"/>
  <c r="AG7" i="2"/>
  <c r="AH14" i="2"/>
  <c r="AI14" i="2" s="1"/>
  <c r="AK14" i="2" s="1"/>
  <c r="AL14" i="2" s="1"/>
  <c r="AF7" i="2"/>
  <c r="AE7" i="2" s="1"/>
  <c r="AD7" i="2" s="1"/>
  <c r="AC7" i="2" s="1"/>
  <c r="AB7" i="2" s="1"/>
  <c r="AA7" i="2" s="1"/>
  <c r="Z7" i="2" s="1"/>
  <c r="Y7" i="2" s="1"/>
  <c r="X7" i="2" s="1"/>
  <c r="W7" i="2" s="1"/>
  <c r="V7" i="2" s="1"/>
  <c r="U7" i="2" s="1"/>
  <c r="T7" i="2" s="1"/>
  <c r="S7" i="2" s="1"/>
  <c r="R7" i="2" s="1"/>
  <c r="Q7" i="2" s="1"/>
  <c r="P7" i="2" s="1"/>
  <c r="O7" i="2" s="1"/>
  <c r="N7" i="2" s="1"/>
  <c r="M7" i="2" s="1"/>
  <c r="L7" i="2" s="1"/>
  <c r="K7" i="2" s="1"/>
  <c r="J7" i="2" s="1"/>
  <c r="I7" i="2" s="1"/>
  <c r="H7" i="2" s="1"/>
  <c r="G7" i="2" s="1"/>
  <c r="F7" i="2" s="1"/>
  <c r="E7" i="2" s="1"/>
  <c r="D7" i="2" s="1"/>
  <c r="C7" i="2" s="1"/>
  <c r="Q32" i="2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AG32" i="2" s="1"/>
  <c r="AH32" i="2" s="1"/>
  <c r="AI32" i="2" s="1"/>
  <c r="AK32" i="2" s="1"/>
  <c r="AL32" i="2" s="1"/>
  <c r="R31" i="2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I31" i="2" s="1"/>
  <c r="Y24" i="2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I15" i="2"/>
  <c r="AL13" i="2"/>
  <c r="AC20" i="2"/>
  <c r="AD20" i="2" s="1"/>
  <c r="AE20" i="2" s="1"/>
  <c r="AF20" i="2" s="1"/>
  <c r="AG20" i="2" s="1"/>
  <c r="AH20" i="2" s="1"/>
  <c r="AI20" i="2" s="1"/>
  <c r="V27" i="2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AG27" i="2" s="1"/>
  <c r="AH27" i="2" s="1"/>
  <c r="AI27" i="2" s="1"/>
  <c r="U28" i="2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AH28" i="2" s="1"/>
  <c r="AI28" i="2" s="1"/>
  <c r="S30" i="2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AG30" i="2" s="1"/>
  <c r="AH30" i="2" s="1"/>
  <c r="AI30" i="2" s="1"/>
  <c r="M36" i="2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AG36" i="2" s="1"/>
  <c r="AH36" i="2" s="1"/>
  <c r="AI36" i="2" s="1"/>
  <c r="Z23" i="2"/>
  <c r="AA23" i="2" s="1"/>
  <c r="AB23" i="2" s="1"/>
  <c r="AC23" i="2" s="1"/>
  <c r="AD23" i="2" s="1"/>
  <c r="AE23" i="2" s="1"/>
  <c r="AF23" i="2" s="1"/>
  <c r="AG23" i="2" s="1"/>
  <c r="AH23" i="2" s="1"/>
  <c r="AI23" i="2" s="1"/>
  <c r="K38" i="2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AG38" i="2" s="1"/>
  <c r="AH38" i="2" s="1"/>
  <c r="AI38" i="2" s="1"/>
  <c r="T29" i="2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AG29" i="2" s="1"/>
  <c r="AH29" i="2" s="1"/>
  <c r="AI29" i="2" s="1"/>
  <c r="J39" i="2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AG39" i="2" s="1"/>
  <c r="AH39" i="2" s="1"/>
  <c r="AI39" i="2" s="1"/>
  <c r="L37" i="2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AG37" i="2" s="1"/>
  <c r="AH37" i="2" s="1"/>
  <c r="AI37" i="2" s="1"/>
  <c r="P33" i="2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AH33" i="2" s="1"/>
  <c r="AI33" i="2" s="1"/>
  <c r="AB21" i="2"/>
  <c r="AC21" i="2" s="1"/>
  <c r="AD21" i="2" s="1"/>
  <c r="AE21" i="2" s="1"/>
  <c r="AF21" i="2" s="1"/>
  <c r="AG21" i="2" s="1"/>
  <c r="AH21" i="2" s="1"/>
  <c r="AI21" i="2" s="1"/>
  <c r="H41" i="2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AG41" i="2" s="1"/>
  <c r="AH41" i="2" s="1"/>
  <c r="AI41" i="2" s="1"/>
  <c r="I40" i="2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AG40" i="2" s="1"/>
  <c r="AH40" i="2" s="1"/>
  <c r="AI40" i="2" s="1"/>
  <c r="AG16" i="2"/>
  <c r="AH16" i="2" s="1"/>
  <c r="AI16" i="2" s="1"/>
  <c r="O34" i="2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AK34" i="2" s="1"/>
  <c r="W26" i="2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F17" i="2"/>
  <c r="AG17" i="2" s="1"/>
  <c r="AH17" i="2" s="1"/>
  <c r="AI17" i="2" s="1"/>
  <c r="X25" i="2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E18" i="2"/>
  <c r="AF18" i="2" s="1"/>
  <c r="AG18" i="2" s="1"/>
  <c r="AH18" i="2" s="1"/>
  <c r="AI18" i="2" s="1"/>
  <c r="G42" i="2"/>
  <c r="H42" i="2" s="1"/>
  <c r="I42" i="2" s="1"/>
  <c r="J42" i="2" s="1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AG42" i="2" s="1"/>
  <c r="AH42" i="2" s="1"/>
  <c r="AI42" i="2" s="1"/>
  <c r="AD19" i="2"/>
  <c r="AE19" i="2" s="1"/>
  <c r="AF19" i="2" s="1"/>
  <c r="AG19" i="2" s="1"/>
  <c r="AH19" i="2" s="1"/>
  <c r="AI19" i="2" s="1"/>
  <c r="AA22" i="2"/>
  <c r="AB22" i="2" s="1"/>
  <c r="AC22" i="2" s="1"/>
  <c r="AD22" i="2" s="1"/>
  <c r="AE22" i="2" s="1"/>
  <c r="AF22" i="2" s="1"/>
  <c r="AG22" i="2" s="1"/>
  <c r="AH22" i="2" s="1"/>
  <c r="AI22" i="2" s="1"/>
  <c r="N35" i="2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AG35" i="2" s="1"/>
  <c r="AH35" i="2" s="1"/>
  <c r="AI35" i="2" s="1"/>
  <c r="E44" i="2"/>
  <c r="F44" i="2" s="1"/>
  <c r="G44" i="2" s="1"/>
  <c r="H44" i="2" s="1"/>
  <c r="I44" i="2" s="1"/>
  <c r="J44" i="2" s="1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AG44" i="2" s="1"/>
  <c r="AH44" i="2" s="1"/>
  <c r="AI44" i="2" s="1"/>
  <c r="F43" i="2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K33" i="2" l="1"/>
  <c r="AL33" i="2" s="1"/>
  <c r="AK41" i="2"/>
  <c r="AL41" i="2" s="1"/>
  <c r="AK40" i="2"/>
  <c r="AL40" i="2" s="1"/>
  <c r="AK16" i="2"/>
  <c r="AL16" i="2" s="1"/>
  <c r="AL34" i="2"/>
  <c r="AK21" i="2"/>
  <c r="AL21" i="2" s="1"/>
  <c r="AK20" i="2"/>
  <c r="AL20" i="2" s="1"/>
  <c r="AK27" i="2"/>
  <c r="AL27" i="2" s="1"/>
  <c r="AK26" i="2"/>
  <c r="AL26" i="2" s="1"/>
  <c r="AK30" i="2"/>
  <c r="AL30" i="2" s="1"/>
  <c r="AK28" i="2"/>
  <c r="AL28" i="2" s="1"/>
  <c r="AK17" i="2"/>
  <c r="AL17" i="2" s="1"/>
  <c r="AK31" i="2"/>
  <c r="AL31" i="2" s="1"/>
  <c r="AK25" i="2"/>
  <c r="AL25" i="2" s="1"/>
  <c r="AK29" i="2"/>
  <c r="AL29" i="2" s="1"/>
  <c r="AK18" i="2"/>
  <c r="AL18" i="2" s="1"/>
  <c r="AK42" i="2"/>
  <c r="AL42" i="2" s="1"/>
  <c r="AK19" i="2"/>
  <c r="AL19" i="2" s="1"/>
  <c r="AK22" i="2"/>
  <c r="AL22" i="2" s="1"/>
  <c r="AK36" i="2"/>
  <c r="AL36" i="2" s="1"/>
  <c r="AK23" i="2"/>
  <c r="AL23" i="2" s="1"/>
  <c r="AK35" i="2"/>
  <c r="AL35" i="2" s="1"/>
  <c r="AK38" i="2"/>
  <c r="AL38" i="2" s="1"/>
  <c r="AK24" i="2"/>
  <c r="AL24" i="2" s="1"/>
  <c r="AK37" i="2"/>
  <c r="AL37" i="2" s="1"/>
  <c r="AK39" i="2"/>
  <c r="AL39" i="2" s="1"/>
  <c r="AK44" i="2"/>
  <c r="AK43" i="2"/>
  <c r="AL43" i="2" s="1"/>
  <c r="AK15" i="2"/>
  <c r="AL15" i="2" s="1"/>
  <c r="AL44" i="2" l="1"/>
  <c r="AL45" i="2" s="1"/>
  <c r="AK45" i="2"/>
</calcChain>
</file>

<file path=xl/sharedStrings.xml><?xml version="1.0" encoding="utf-8"?>
<sst xmlns="http://schemas.openxmlformats.org/spreadsheetml/2006/main" count="71" uniqueCount="71">
  <si>
    <t>N+0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</si>
  <si>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</si>
  <si>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</si>
  <si>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</si>
  <si>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</si>
  <si>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</si>
  <si>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</si>
  <si>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</si>
  <si>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</si>
  <si>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</si>
  <si>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N+10</t>
  </si>
  <si>
    <t>N+11</t>
  </si>
  <si>
    <t>N+12</t>
  </si>
  <si>
    <t>N+13</t>
  </si>
  <si>
    <t>N+14</t>
  </si>
  <si>
    <t>N+15</t>
  </si>
  <si>
    <t>N+16</t>
  </si>
  <si>
    <t>N+17</t>
  </si>
  <si>
    <t>N+18</t>
  </si>
  <si>
    <t>N+19</t>
  </si>
  <si>
    <t>N+20</t>
  </si>
  <si>
    <t>N+21</t>
  </si>
  <si>
    <t>N+22</t>
  </si>
  <si>
    <t>N+23</t>
  </si>
  <si>
    <t>N+24</t>
  </si>
  <si>
    <t>N+25</t>
  </si>
  <si>
    <t>N+26</t>
  </si>
  <si>
    <t>N+27</t>
  </si>
  <si>
    <t>N+28</t>
  </si>
  <si>
    <t>N+29</t>
  </si>
  <si>
    <t>N+30</t>
  </si>
  <si>
    <t>N+31</t>
  </si>
  <si>
    <t>N+32</t>
  </si>
  <si>
    <t>Facteurs de Développement Individuels </t>
  </si>
  <si>
    <t>LDF k → k+1</t>
  </si>
  <si>
    <t>Facteur Moyen</t>
  </si>
  <si>
    <t>1--2</t>
  </si>
  <si>
    <t>0--1</t>
  </si>
  <si>
    <t>2--3</t>
  </si>
  <si>
    <t>3--4</t>
  </si>
  <si>
    <t>4--5</t>
  </si>
  <si>
    <t>5--6</t>
  </si>
  <si>
    <t>6--7</t>
  </si>
  <si>
    <t>7--8</t>
  </si>
  <si>
    <t>8--9</t>
  </si>
  <si>
    <t>9--10</t>
  </si>
  <si>
    <t>10--11</t>
  </si>
  <si>
    <t>11--12</t>
  </si>
  <si>
    <t>12--13</t>
  </si>
  <si>
    <t>13--14</t>
  </si>
  <si>
    <t>14--15</t>
  </si>
  <si>
    <t>15--16</t>
  </si>
  <si>
    <t>16--17</t>
  </si>
  <si>
    <t>17--18</t>
  </si>
  <si>
    <t>18--19</t>
  </si>
  <si>
    <t>19--20</t>
  </si>
  <si>
    <t>20--21</t>
  </si>
  <si>
    <t>21--22</t>
  </si>
  <si>
    <t>22--23</t>
  </si>
  <si>
    <t>23--24</t>
  </si>
  <si>
    <t>24--25</t>
  </si>
  <si>
    <t>25--26</t>
  </si>
  <si>
    <t>26--27</t>
  </si>
  <si>
    <t>27-28</t>
  </si>
  <si>
    <t>28--29</t>
  </si>
  <si>
    <t>29--30</t>
  </si>
  <si>
    <t>30--31</t>
  </si>
  <si>
    <t>CDF (Cumulative)</t>
  </si>
  <si>
    <t xml:space="preserve">Ultime CL	</t>
  </si>
  <si>
    <t>Dernier Payé</t>
  </si>
  <si>
    <t xml:space="preserve"> IBNR Chain 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</si>
</sst>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C00000"/>
      <name val="Segoe UI"/>
      <family val="2"/>
    </font>
    <font>
      <sz val="11"/>
      <color rgb="FFFF0000"/>
      <name val="Calibri"/>
      <family val="2"/>
      <scheme val="minor"/>
    </font>
    <font>
      <b/>
      <sz val="11"/>
      <color rgb="FF334155"/>
      <name val="Arial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2" borderId="0" xfId="1" applyNumberFormat="1" applyFont="1" applyFill="1"/>
    <xf numFmtId="164" fontId="2" fillId="3" borderId="0" xfId="1" applyNumberFormat="1" applyFont="1" applyFill="1"/>
    <xf numFmtId="164" fontId="2" fillId="3" borderId="1" xfId="1" applyNumberFormat="1" applyFont="1" applyFill="1" applyBorder="1" applyAlignment="1">
      <alignment horizontal="center"/>
    </xf>
    <xf numFmtId="164" fontId="2" fillId="3" borderId="0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4" fontId="1" fillId="4" borderId="0" xfId="1" applyNumberFormat="1" applyFont="1" applyFill="1"/>
    <xf numFmtId="164" fontId="1" fillId="5" borderId="0" xfId="1" applyNumberFormat="1" applyFont="1" applyFill="1"/>
    <xf numFmtId="0" fontId="5" fillId="0" borderId="0" xfId="0" applyFont="1"/>
    <xf numFmtId="0" fontId="6" fillId="0" borderId="0" xfId="0" applyFont="1"/>
    <xf numFmtId="16" fontId="6" fillId="0" borderId="0" xfId="0" applyNumberFormat="1" applyFont="1"/>
    <xf numFmtId="0" fontId="7" fillId="5" borderId="0" xfId="0" applyFont="1" applyFill="1"/>
    <xf numFmtId="0" fontId="8" fillId="5" borderId="0" xfId="0" applyFont="1" applyFill="1"/>
    <xf numFmtId="0" fontId="4" fillId="6" borderId="0" xfId="0" applyFont="1" applyFill="1"/>
    <xf numFmtId="164" fontId="9" fillId="4" borderId="0" xfId="1" applyNumberFormat="1" applyFont="1" applyFill="1"/>
    <xf numFmtId="0" fontId="10" fillId="7" borderId="0" xfId="0" applyFont="1" applyFill="1" applyAlignment="1">
      <alignment horizontal="center" vertical="center" wrapText="1"/>
    </xf>
    <xf numFmtId="164" fontId="0" fillId="0" borderId="0" xfId="0" applyNumberFormat="1"/>
    <xf numFmtId="164" fontId="11" fillId="5" borderId="0" xfId="0" applyNumberFormat="1" applyFont="1" applyFill="1"/>
    <xf numFmtId="164" fontId="5" fillId="5" borderId="0" xfId="0" applyNumberFormat="1" applyFont="1" applyFill="1"/>
  </cellXfs>
  <cellStyles count="3">
    <cellStyle name="Milliers 10" xfId="1" xr:uid="{00000000-0005-0000-0000-000000000000}"/>
    <cellStyle name="Milliers 19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DA2E-CE58-4322-814C-3ADAF2EA550B}">
  <dimension ref="B4:AL48"/>
  <sheetViews>
    <sheetView tabSelected="1" topLeftCell="W9" zoomScale="88" zoomScaleNormal="88" workbookViewId="0">
      <selection activeCell="AH7" sqref="AH7"/>
    </sheetView>
  </sheetViews>
  <sheetFormatPr defaultRowHeight="14.4" x14ac:dyDescent="0.3"/>
  <cols>
    <col min="2" max="2" width="35.109375" bestFit="1" customWidth="1"/>
    <col min="3" max="35" width="13.88671875" bestFit="1" customWidth="1"/>
    <col min="36" max="37" width="15.6640625" bestFit="1" customWidth="1"/>
    <col min="38" max="38" width="20.6640625" bestFit="1" customWidth="1"/>
  </cols>
  <sheetData>
    <row r="4" spans="2:38" x14ac:dyDescent="0.3">
      <c r="B4" s="13" t="s">
        <v>33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2:38" x14ac:dyDescent="0.3">
      <c r="B5" s="11" t="s">
        <v>34</v>
      </c>
      <c r="C5" s="9" t="s">
        <v>37</v>
      </c>
      <c r="D5" s="10" t="s">
        <v>36</v>
      </c>
      <c r="E5" s="9" t="s">
        <v>38</v>
      </c>
      <c r="F5" s="9" t="s">
        <v>39</v>
      </c>
      <c r="G5" s="9" t="s">
        <v>40</v>
      </c>
      <c r="H5" s="9" t="s">
        <v>41</v>
      </c>
      <c r="I5" s="9" t="s">
        <v>42</v>
      </c>
      <c r="J5" s="9" t="s">
        <v>43</v>
      </c>
      <c r="K5" s="9" t="s">
        <v>44</v>
      </c>
      <c r="L5" s="9" t="s">
        <v>45</v>
      </c>
      <c r="M5" s="10" t="s">
        <v>46</v>
      </c>
      <c r="N5" s="10" t="s">
        <v>47</v>
      </c>
      <c r="O5" s="9" t="s">
        <v>48</v>
      </c>
      <c r="P5" s="9" t="s">
        <v>49</v>
      </c>
      <c r="Q5" s="9" t="s">
        <v>50</v>
      </c>
      <c r="R5" s="9" t="s">
        <v>51</v>
      </c>
      <c r="S5" s="9" t="s">
        <v>52</v>
      </c>
      <c r="T5" s="9" t="s">
        <v>53</v>
      </c>
      <c r="U5" s="9" t="s">
        <v>54</v>
      </c>
      <c r="V5" s="9" t="s">
        <v>55</v>
      </c>
      <c r="W5" s="9" t="s">
        <v>56</v>
      </c>
      <c r="X5" s="9" t="s">
        <v>57</v>
      </c>
      <c r="Y5" s="9" t="s">
        <v>58</v>
      </c>
      <c r="Z5" s="9" t="s">
        <v>59</v>
      </c>
      <c r="AA5" s="9" t="s">
        <v>60</v>
      </c>
      <c r="AB5" s="9" t="s">
        <v>61</v>
      </c>
      <c r="AC5" s="9" t="s">
        <v>62</v>
      </c>
      <c r="AD5" s="9" t="s">
        <v>63</v>
      </c>
      <c r="AE5" s="9" t="s">
        <v>64</v>
      </c>
      <c r="AF5" s="9" t="s">
        <v>65</v>
      </c>
      <c r="AG5" s="9" t="s">
        <v>66</v>
      </c>
    </row>
    <row r="6" spans="2:38" ht="16.8" x14ac:dyDescent="0.4">
      <c r="B6" s="12" t="s">
        <v>35</v>
      </c>
      <c r="C6" s="9">
        <f>SUM(D13:D43)/SUM(C13:C43)</f>
        <v>3.355782846918606</v>
      </c>
      <c r="D6" s="9">
        <f>SUM(E13:E42)/SUM(D13:D42)</f>
        <v>1.5828044170680373</v>
      </c>
      <c r="E6" s="9">
        <f>SUM(F13:F41)/SUM(E13:E41)</f>
        <v>1.240740340647337</v>
      </c>
      <c r="F6" s="9">
        <f>SUM(G13:G40)/SUM(F13:F40)</f>
        <v>1.1039260249338729</v>
      </c>
      <c r="G6" s="9">
        <f>SUM(H13:H39)/SUM(G13:G39)</f>
        <v>1.0561447893952296</v>
      </c>
      <c r="H6" s="9">
        <f>SUM(I13:I38)/SUM(H13:H38)</f>
        <v>1.0362277136591538</v>
      </c>
      <c r="I6" s="9">
        <f>SUM(J13:J37)/SUM(I13:I37)</f>
        <v>1.0230252453122062</v>
      </c>
      <c r="J6" s="9">
        <f>SUM(K13:K36)/SUM(J13:J36)</f>
        <v>1.0156420055460262</v>
      </c>
      <c r="K6" s="9">
        <f>SUM(L13:L35)/SUM(K13:K35)</f>
        <v>1.0124830084314633</v>
      </c>
      <c r="L6" s="9">
        <f>SUM(M13:M34)/SUM(L13:L34)</f>
        <v>1.0087998164293481</v>
      </c>
      <c r="M6" s="9">
        <f>SUM(N13:N33)/SUM(M13:M33)</f>
        <v>1.0075581407144309</v>
      </c>
      <c r="N6" s="9">
        <f>SUM(O13:O32)/SUM(N13:N32)</f>
        <v>1.0058240673593486</v>
      </c>
      <c r="O6" s="9">
        <f>SUM(P13:P31)/SUM(O13:O31)</f>
        <v>1.0040956636825167</v>
      </c>
      <c r="P6" s="9">
        <f>SUM(Q13:Q30)/SUM(P13:P30)</f>
        <v>1.0011601835126158</v>
      </c>
      <c r="Q6" s="9">
        <f>SUM(R13:R29)/SUM(Q13:Q29)</f>
        <v>1.0022645880853889</v>
      </c>
      <c r="R6" s="9">
        <f>SUM(S13:S28)/SUM(R13:R28)</f>
        <v>1.0014949204282835</v>
      </c>
      <c r="S6" s="9">
        <f>SUM(T13:T27)/SUM(S13:S27)</f>
        <v>1.000891748902214</v>
      </c>
      <c r="T6" s="9">
        <f>SUM(U13:U26)/SUM(T13:T26)</f>
        <v>1.000726544274146</v>
      </c>
      <c r="U6" s="9">
        <f>SUM(V13:V25)/SUM(U13:U25)</f>
        <v>1.0001774318360086</v>
      </c>
      <c r="V6" s="9">
        <f>SUM(W13:W24)/SUM(V13:V24)</f>
        <v>1.0013968313170547</v>
      </c>
      <c r="W6" s="9">
        <f>SUM(X13:X23)/SUM(W13:W23)</f>
        <v>1.0004795905235917</v>
      </c>
      <c r="X6" s="9">
        <f>SUM(Y13:Y22)/SUM(X13:X22)</f>
        <v>1.000862771095433</v>
      </c>
      <c r="Y6" s="9">
        <f>SUM(Z13:Z21)/SUM(Y13:Y21)</f>
        <v>1.0004771556247882</v>
      </c>
      <c r="Z6" s="9">
        <f>SUM(AA13:AA20)/SUM(Z13:Z20)</f>
        <v>1.0009864891072604</v>
      </c>
      <c r="AA6" s="9">
        <f>SUM(AB13:AB19)/SUM(AA13:AA19)</f>
        <v>1.0015803601885531</v>
      </c>
      <c r="AB6" s="9">
        <f>SUM(AC13:AC18)/SUM(AB13:AB18)</f>
        <v>1.0021904496228262</v>
      </c>
      <c r="AC6" s="9">
        <f>SUM(AD13:AD17)/SUM(AC13:AC17)</f>
        <v>1.0035105534864517</v>
      </c>
      <c r="AD6" s="9">
        <f>SUM(AE13:AE16)/SUM(AD13:AD16)</f>
        <v>1.0022314858272909</v>
      </c>
      <c r="AE6" s="9">
        <f>SUM(AF13:AF15)/SUM(AE13:AE15)</f>
        <v>1.0112489826167517</v>
      </c>
      <c r="AF6" s="9">
        <f>SUM(AG13:AG14)/SUM(AF13:AF14)</f>
        <v>1.000746317917522</v>
      </c>
      <c r="AG6" s="9">
        <f>SUM(AH13:AH13)/SUM(AG13:AG13)</f>
        <v>1.0008984628705528</v>
      </c>
    </row>
    <row r="7" spans="2:38" s="8" customFormat="1" ht="16.8" x14ac:dyDescent="0.4">
      <c r="B7" s="12" t="s">
        <v>67</v>
      </c>
      <c r="C7" s="8">
        <f>D7*C6</f>
        <v>8.8888267853778036</v>
      </c>
      <c r="D7" s="8">
        <f>E7*D6</f>
        <v>2.6488086955745147</v>
      </c>
      <c r="E7" s="8">
        <f t="shared" ref="E7:AE7" si="0">F7*E6</f>
        <v>1.6734908413265155</v>
      </c>
      <c r="F7" s="8">
        <f t="shared" si="0"/>
        <v>1.3487840980921098</v>
      </c>
      <c r="G7" s="8">
        <f t="shared" si="0"/>
        <v>1.221806595394745</v>
      </c>
      <c r="H7" s="8">
        <f t="shared" si="0"/>
        <v>1.1568552036263671</v>
      </c>
      <c r="I7" s="8">
        <f t="shared" si="0"/>
        <v>1.1164102140650634</v>
      </c>
      <c r="J7" s="8">
        <f t="shared" si="0"/>
        <v>1.0912831517900206</v>
      </c>
      <c r="K7" s="8">
        <f t="shared" si="0"/>
        <v>1.0744761892782568</v>
      </c>
      <c r="L7" s="8">
        <f t="shared" si="0"/>
        <v>1.0612288604653555</v>
      </c>
      <c r="M7" s="8">
        <f t="shared" si="0"/>
        <v>1.0519717025936624</v>
      </c>
      <c r="N7" s="8">
        <f t="shared" si="0"/>
        <v>1.044080396043189</v>
      </c>
      <c r="O7" s="8">
        <f t="shared" si="0"/>
        <v>1.038034811380361</v>
      </c>
      <c r="P7" s="8">
        <f t="shared" si="0"/>
        <v>1.033800711351917</v>
      </c>
      <c r="Q7" s="8">
        <f t="shared" si="0"/>
        <v>1.0326027027211373</v>
      </c>
      <c r="R7" s="8">
        <f t="shared" si="0"/>
        <v>1.0302695665360211</v>
      </c>
      <c r="S7" s="8">
        <f t="shared" si="0"/>
        <v>1.0287316945106744</v>
      </c>
      <c r="T7" s="8">
        <f t="shared" si="0"/>
        <v>1.0278151414865748</v>
      </c>
      <c r="U7" s="8">
        <f t="shared" si="0"/>
        <v>1.0270689304360132</v>
      </c>
      <c r="V7" s="8">
        <f t="shared" si="0"/>
        <v>1.0268867280384846</v>
      </c>
      <c r="W7" s="8">
        <f t="shared" si="0"/>
        <v>1.0254543413003465</v>
      </c>
      <c r="X7" s="8">
        <f t="shared" si="0"/>
        <v>1.0249627788645688</v>
      </c>
      <c r="Y7" s="8">
        <f t="shared" si="0"/>
        <v>1.0240792329029869</v>
      </c>
      <c r="Z7" s="8">
        <f t="shared" si="0"/>
        <v>1.0235908207853675</v>
      </c>
      <c r="AA7" s="8">
        <f t="shared" si="0"/>
        <v>1.0225820547270992</v>
      </c>
      <c r="AB7" s="8">
        <f t="shared" si="0"/>
        <v>1.0209685566663791</v>
      </c>
      <c r="AC7" s="8">
        <f t="shared" si="0"/>
        <v>1.0187370644478002</v>
      </c>
      <c r="AD7" s="8">
        <f t="shared" si="0"/>
        <v>1.0151732444750559</v>
      </c>
      <c r="AE7" s="8">
        <f t="shared" si="0"/>
        <v>1.0129129435971393</v>
      </c>
      <c r="AF7" s="8">
        <f>AG7*AF6</f>
        <v>1.0016454513270134</v>
      </c>
      <c r="AG7" s="8">
        <f>AH7*AG6</f>
        <v>1.0008984628705528</v>
      </c>
      <c r="AH7" s="8">
        <v>1</v>
      </c>
    </row>
    <row r="11" spans="2:38" x14ac:dyDescent="0.3">
      <c r="AK11" s="15"/>
    </row>
    <row r="12" spans="2:38" x14ac:dyDescent="0.3">
      <c r="B12" s="1"/>
      <c r="C12" s="2" t="s">
        <v>0</v>
      </c>
      <c r="D12" s="2" t="s">
        <v>1</v>
      </c>
      <c r="E12" s="2" t="s">
        <v>2</v>
      </c>
      <c r="F12" s="2" t="s">
        <v>3</v>
      </c>
      <c r="G12" s="2" t="s">
        <v>4</v>
      </c>
      <c r="H12" s="2" t="s">
        <v>5</v>
      </c>
      <c r="I12" s="2" t="s">
        <v>6</v>
      </c>
      <c r="J12" s="2" t="s">
        <v>7</v>
      </c>
      <c r="K12" s="2" t="s">
        <v>8</v>
      </c>
      <c r="L12" s="2" t="s">
        <v>9</v>
      </c>
      <c r="M12" s="2" t="s">
        <v>10</v>
      </c>
      <c r="N12" s="2" t="s">
        <v>11</v>
      </c>
      <c r="O12" s="2" t="s">
        <v>12</v>
      </c>
      <c r="P12" s="2" t="s">
        <v>13</v>
      </c>
      <c r="Q12" s="2" t="s">
        <v>14</v>
      </c>
      <c r="R12" s="2" t="s">
        <v>15</v>
      </c>
      <c r="S12" s="2" t="s">
        <v>16</v>
      </c>
      <c r="T12" s="2" t="s">
        <v>17</v>
      </c>
      <c r="U12" s="2" t="s">
        <v>18</v>
      </c>
      <c r="V12" s="2" t="s">
        <v>19</v>
      </c>
      <c r="W12" s="2" t="s">
        <v>20</v>
      </c>
      <c r="X12" s="2" t="s">
        <v>21</v>
      </c>
      <c r="Y12" s="2" t="s">
        <v>22</v>
      </c>
      <c r="Z12" s="2" t="s">
        <v>23</v>
      </c>
      <c r="AA12" s="3" t="s">
        <v>24</v>
      </c>
      <c r="AB12" s="4" t="s">
        <v>25</v>
      </c>
      <c r="AC12" s="4" t="s">
        <v>26</v>
      </c>
      <c r="AD12" s="4" t="s">
        <v>27</v>
      </c>
      <c r="AE12" s="4" t="s">
        <v>28</v>
      </c>
      <c r="AF12" s="4" t="s">
        <v>29</v>
      </c>
      <c r="AG12" s="4" t="s">
        <v>30</v>
      </c>
      <c r="AH12" s="4" t="s">
        <v>31</v>
      </c>
      <c r="AI12" s="4" t="s">
        <v>32</v>
      </c>
      <c r="AJ12" s="15" t="s">
        <v>69</v>
      </c>
      <c r="AK12" s="15" t="s">
        <v>68</v>
      </c>
      <c r="AL12" s="15" t="s">
        <v>70</v>
      </c>
    </row>
    <row r="13" spans="2:38" ht="15" x14ac:dyDescent="0.35">
      <c r="B13" s="5">
        <v>1993</v>
      </c>
      <c r="C13" s="6">
        <v>6185001.3499999996</v>
      </c>
      <c r="D13" s="6">
        <v>22662636.787500005</v>
      </c>
      <c r="E13" s="6">
        <v>37222868.758333333</v>
      </c>
      <c r="F13" s="6">
        <v>43203727.93333333</v>
      </c>
      <c r="G13" s="6">
        <v>48732812.145833336</v>
      </c>
      <c r="H13" s="6">
        <v>52045531.200000003</v>
      </c>
      <c r="I13" s="6">
        <v>54302444.691666663</v>
      </c>
      <c r="J13" s="6">
        <v>54865912.575000003</v>
      </c>
      <c r="K13" s="6">
        <v>55247513.945833333</v>
      </c>
      <c r="L13" s="6">
        <v>55601973.170833334</v>
      </c>
      <c r="M13" s="6">
        <v>56015721.720833331</v>
      </c>
      <c r="N13" s="6">
        <v>56024036.016666666</v>
      </c>
      <c r="O13" s="6">
        <v>59456302.497499995</v>
      </c>
      <c r="P13" s="6">
        <v>61610681.254166663</v>
      </c>
      <c r="Q13" s="6">
        <v>62086519.987500004</v>
      </c>
      <c r="R13" s="6">
        <v>62406940.241666675</v>
      </c>
      <c r="S13" s="6">
        <v>62389330.741666667</v>
      </c>
      <c r="T13" s="6">
        <v>62407342.95000001</v>
      </c>
      <c r="U13" s="6">
        <v>62267668.487500004</v>
      </c>
      <c r="V13" s="6">
        <v>62276642.179166675</v>
      </c>
      <c r="W13" s="6">
        <v>62291444.754166678</v>
      </c>
      <c r="X13" s="6">
        <v>62299888.129166678</v>
      </c>
      <c r="Y13" s="6">
        <v>62311332.675000012</v>
      </c>
      <c r="Z13" s="6">
        <v>62344016.76250001</v>
      </c>
      <c r="AA13" s="6">
        <v>62338499.104166679</v>
      </c>
      <c r="AB13" s="6">
        <v>62596078.412500016</v>
      </c>
      <c r="AC13" s="6">
        <v>62724537.816666678</v>
      </c>
      <c r="AD13" s="6">
        <v>62788022.354166672</v>
      </c>
      <c r="AE13" s="6">
        <v>63224289.954166673</v>
      </c>
      <c r="AF13" s="6">
        <v>63344293.033333339</v>
      </c>
      <c r="AG13" s="6">
        <v>63432202.970833331</v>
      </c>
      <c r="AH13" s="7">
        <v>63489194.450000003</v>
      </c>
      <c r="AI13" s="14">
        <f>AH13</f>
        <v>63489194.450000003</v>
      </c>
      <c r="AJ13" s="16">
        <f>AH13</f>
        <v>63489194.450000003</v>
      </c>
      <c r="AK13" s="16">
        <f>AI13</f>
        <v>63489194.450000003</v>
      </c>
      <c r="AL13" s="16">
        <f>AK13-AJ13</f>
        <v>0</v>
      </c>
    </row>
    <row r="14" spans="2:38" ht="15" x14ac:dyDescent="0.35">
      <c r="B14" s="5">
        <v>1994</v>
      </c>
      <c r="C14" s="6">
        <v>8447485.8291666675</v>
      </c>
      <c r="D14" s="6">
        <v>26669272.283333335</v>
      </c>
      <c r="E14" s="6">
        <v>39750199.158333339</v>
      </c>
      <c r="F14" s="6">
        <v>49089247.345833339</v>
      </c>
      <c r="G14" s="6">
        <v>54562161.649999999</v>
      </c>
      <c r="H14" s="6">
        <v>58963473.654166676</v>
      </c>
      <c r="I14" s="6">
        <v>60572803.395833351</v>
      </c>
      <c r="J14" s="6">
        <v>61846679.016666673</v>
      </c>
      <c r="K14" s="6">
        <v>62753867.783333339</v>
      </c>
      <c r="L14" s="6">
        <v>63250132.562500015</v>
      </c>
      <c r="M14" s="6">
        <v>63055235.858333349</v>
      </c>
      <c r="N14" s="6">
        <v>67483183.405833349</v>
      </c>
      <c r="O14" s="6">
        <v>70457600.425000027</v>
      </c>
      <c r="P14" s="6">
        <v>70783581.945833355</v>
      </c>
      <c r="Q14" s="6">
        <v>71022083.858333364</v>
      </c>
      <c r="R14" s="6">
        <v>71070725.637500033</v>
      </c>
      <c r="S14" s="6">
        <v>71020970.629166692</v>
      </c>
      <c r="T14" s="6">
        <v>71330853.883333355</v>
      </c>
      <c r="U14" s="6">
        <v>71424601.695833355</v>
      </c>
      <c r="V14" s="6">
        <v>71501923.49166669</v>
      </c>
      <c r="W14" s="6">
        <v>71505904.758333355</v>
      </c>
      <c r="X14" s="6">
        <v>71495411.12500003</v>
      </c>
      <c r="Y14" s="6">
        <v>71543328.033333361</v>
      </c>
      <c r="Z14" s="6">
        <v>71503977.354166701</v>
      </c>
      <c r="AA14" s="6">
        <v>71696007.166666701</v>
      </c>
      <c r="AB14" s="6">
        <v>71845710.266666695</v>
      </c>
      <c r="AC14" s="6">
        <v>72085551.808333367</v>
      </c>
      <c r="AD14" s="6">
        <v>72517911.066666692</v>
      </c>
      <c r="AE14" s="6">
        <v>72555491.708333358</v>
      </c>
      <c r="AF14" s="6">
        <v>72652776.870833352</v>
      </c>
      <c r="AG14" s="7">
        <v>72666363.983333349</v>
      </c>
      <c r="AH14" s="14">
        <f>AG14*AG6</f>
        <v>72731652.013310447</v>
      </c>
      <c r="AI14" s="14">
        <f>AH14</f>
        <v>72731652.013310447</v>
      </c>
      <c r="AJ14" s="16">
        <f>AG14</f>
        <v>72666363.983333349</v>
      </c>
      <c r="AK14" s="16">
        <f>AI14</f>
        <v>72731652.013310447</v>
      </c>
      <c r="AL14" s="16">
        <f>AK14-AJ14</f>
        <v>65288.029977098107</v>
      </c>
    </row>
    <row r="15" spans="2:38" ht="15" x14ac:dyDescent="0.35">
      <c r="B15" s="5">
        <v>1995</v>
      </c>
      <c r="C15" s="6">
        <v>9650006.4791666679</v>
      </c>
      <c r="D15" s="6">
        <v>26172200.549999997</v>
      </c>
      <c r="E15" s="6">
        <v>43629894.3125</v>
      </c>
      <c r="F15" s="6">
        <v>55074210.866666667</v>
      </c>
      <c r="G15" s="6">
        <v>62014190.162500009</v>
      </c>
      <c r="H15" s="6">
        <v>65214943.75833334</v>
      </c>
      <c r="I15" s="6">
        <v>67547496.037500009</v>
      </c>
      <c r="J15" s="6">
        <v>68780385.529166669</v>
      </c>
      <c r="K15" s="6">
        <v>70102180.733333334</v>
      </c>
      <c r="L15" s="6">
        <v>70368209.916666657</v>
      </c>
      <c r="M15" s="6">
        <v>75657016.037499994</v>
      </c>
      <c r="N15" s="6">
        <v>79450978.933333322</v>
      </c>
      <c r="O15" s="6">
        <v>79527964.995833322</v>
      </c>
      <c r="P15" s="6">
        <v>79654693.283333316</v>
      </c>
      <c r="Q15" s="6">
        <v>79762871.945833325</v>
      </c>
      <c r="R15" s="6">
        <v>79858095.562499985</v>
      </c>
      <c r="S15" s="6">
        <v>79923974.99166666</v>
      </c>
      <c r="T15" s="6">
        <v>80063265.279166654</v>
      </c>
      <c r="U15" s="6">
        <v>80085948.874999985</v>
      </c>
      <c r="V15" s="6">
        <v>80090353.94583331</v>
      </c>
      <c r="W15" s="6">
        <v>80070385.887499973</v>
      </c>
      <c r="X15" s="6">
        <v>80337218.904166654</v>
      </c>
      <c r="Y15" s="6">
        <v>80549136.579166636</v>
      </c>
      <c r="Z15" s="6">
        <v>80693623.941666633</v>
      </c>
      <c r="AA15" s="6">
        <v>80711354.104166627</v>
      </c>
      <c r="AB15" s="6">
        <v>80766925.316666633</v>
      </c>
      <c r="AC15" s="6">
        <v>80625417.74999997</v>
      </c>
      <c r="AD15" s="6">
        <v>81639696.237499967</v>
      </c>
      <c r="AE15" s="6">
        <v>81859943.345833302</v>
      </c>
      <c r="AF15" s="7">
        <v>84090880.587499961</v>
      </c>
      <c r="AG15" s="14">
        <f>AF15*AF6</f>
        <v>84153639.118382618</v>
      </c>
      <c r="AH15" s="14">
        <f>AG15*AG6</f>
        <v>84229248.038552389</v>
      </c>
      <c r="AI15" s="14">
        <f t="shared" ref="AI15:AI44" si="1">AH15</f>
        <v>84229248.038552389</v>
      </c>
      <c r="AJ15" s="16">
        <f>AF15</f>
        <v>84090880.587499961</v>
      </c>
      <c r="AK15" s="16">
        <f t="shared" ref="AK15:AK44" si="2">AI15</f>
        <v>84229248.038552389</v>
      </c>
      <c r="AL15" s="16">
        <f t="shared" ref="AL15:AL44" si="3">AK15-AJ15</f>
        <v>138367.45105242729</v>
      </c>
    </row>
    <row r="16" spans="2:38" ht="15" x14ac:dyDescent="0.35">
      <c r="B16" s="5">
        <v>1996</v>
      </c>
      <c r="C16" s="6">
        <v>8642833.6000000015</v>
      </c>
      <c r="D16" s="6">
        <v>27674183.500000004</v>
      </c>
      <c r="E16" s="6">
        <v>46434817.045833334</v>
      </c>
      <c r="F16" s="6">
        <v>61674228.858333334</v>
      </c>
      <c r="G16" s="6">
        <v>68252688.158333346</v>
      </c>
      <c r="H16" s="6">
        <v>71119625.725000009</v>
      </c>
      <c r="I16" s="6">
        <v>73141445.875000015</v>
      </c>
      <c r="J16" s="6">
        <v>74254056</v>
      </c>
      <c r="K16" s="6">
        <v>74875818.891666666</v>
      </c>
      <c r="L16" s="6">
        <v>80085044.966666669</v>
      </c>
      <c r="M16" s="6">
        <v>83447477</v>
      </c>
      <c r="N16" s="6">
        <v>83556475.362499997</v>
      </c>
      <c r="O16" s="6">
        <v>83626647.279166654</v>
      </c>
      <c r="P16" s="6">
        <v>83918544.624999985</v>
      </c>
      <c r="Q16" s="6">
        <v>83954547.141666651</v>
      </c>
      <c r="R16" s="6">
        <v>83935148.333333328</v>
      </c>
      <c r="S16" s="6">
        <v>84005311.729166657</v>
      </c>
      <c r="T16" s="6">
        <v>84056685.595833331</v>
      </c>
      <c r="U16" s="6">
        <v>84052035.174999997</v>
      </c>
      <c r="V16" s="6">
        <v>83877873.424999997</v>
      </c>
      <c r="W16" s="6">
        <v>84019821.512500003</v>
      </c>
      <c r="X16" s="6">
        <v>83986952.616666675</v>
      </c>
      <c r="Y16" s="6">
        <v>84119470.612499997</v>
      </c>
      <c r="Z16" s="6">
        <v>84149575.458333328</v>
      </c>
      <c r="AA16" s="6">
        <v>84331286.429166675</v>
      </c>
      <c r="AB16" s="6">
        <v>84538910.033333346</v>
      </c>
      <c r="AC16" s="6">
        <v>84649754.604166672</v>
      </c>
      <c r="AD16" s="6">
        <v>84448505.783333346</v>
      </c>
      <c r="AE16" s="7">
        <v>84426967.175000012</v>
      </c>
      <c r="AF16" s="14">
        <f>AE16*AE6</f>
        <v>85376684.661136657</v>
      </c>
      <c r="AG16" s="14">
        <f>AF16*AF6</f>
        <v>85440402.810637891</v>
      </c>
      <c r="AH16" s="14">
        <f>AG16*AG6</f>
        <v>85517167.840208322</v>
      </c>
      <c r="AI16" s="14">
        <f>AH16</f>
        <v>85517167.840208322</v>
      </c>
      <c r="AJ16" s="16">
        <f>AE16</f>
        <v>84426967.175000012</v>
      </c>
      <c r="AK16" s="16">
        <f t="shared" si="2"/>
        <v>85517167.840208322</v>
      </c>
      <c r="AL16" s="16">
        <f t="shared" si="3"/>
        <v>1090200.6652083099</v>
      </c>
    </row>
    <row r="17" spans="2:38" ht="15" x14ac:dyDescent="0.35">
      <c r="B17" s="5">
        <v>1997</v>
      </c>
      <c r="C17" s="6">
        <v>8686941.6291666664</v>
      </c>
      <c r="D17" s="6">
        <v>28596777.645833332</v>
      </c>
      <c r="E17" s="6">
        <v>51082151.949999996</v>
      </c>
      <c r="F17" s="6">
        <v>66157706.020833328</v>
      </c>
      <c r="G17" s="6">
        <v>73563633.199999988</v>
      </c>
      <c r="H17" s="6">
        <v>77465355.849999994</v>
      </c>
      <c r="I17" s="6">
        <v>80751994.5625</v>
      </c>
      <c r="J17" s="6">
        <v>83386932.012500003</v>
      </c>
      <c r="K17" s="6">
        <v>90496024.349166676</v>
      </c>
      <c r="L17" s="6">
        <v>95130525.037500024</v>
      </c>
      <c r="M17" s="6">
        <v>96157240.012500033</v>
      </c>
      <c r="N17" s="6">
        <v>96594597.658333361</v>
      </c>
      <c r="O17" s="6">
        <v>96663664.087500036</v>
      </c>
      <c r="P17" s="6">
        <v>96695828.362500027</v>
      </c>
      <c r="Q17" s="6">
        <v>96688476.870833352</v>
      </c>
      <c r="R17" s="6">
        <v>97098776.191666692</v>
      </c>
      <c r="S17" s="6">
        <v>97108688.816666692</v>
      </c>
      <c r="T17" s="6">
        <v>97123409.020833358</v>
      </c>
      <c r="U17" s="6">
        <v>97143708.412500024</v>
      </c>
      <c r="V17" s="6">
        <v>96855625.895833358</v>
      </c>
      <c r="W17" s="6">
        <v>96995509.233333364</v>
      </c>
      <c r="X17" s="6">
        <v>97227090.737500027</v>
      </c>
      <c r="Y17" s="6">
        <v>97380776.495833367</v>
      </c>
      <c r="Z17" s="6">
        <v>97354424.479166701</v>
      </c>
      <c r="AA17" s="6">
        <v>97463193.370833367</v>
      </c>
      <c r="AB17" s="6">
        <v>97410819.670833364</v>
      </c>
      <c r="AC17" s="6">
        <v>97641688.691666707</v>
      </c>
      <c r="AD17" s="7">
        <v>97729056.962500036</v>
      </c>
      <c r="AE17" s="14">
        <f>AD17*AD6</f>
        <v>97947137.96802637</v>
      </c>
      <c r="AF17" s="14">
        <f>AE17*AE6</f>
        <v>99048943.620389283</v>
      </c>
      <c r="AG17" s="14">
        <f>AF17*AF6</f>
        <v>99122865.621724799</v>
      </c>
      <c r="AH17" s="14">
        <f>AG17*AG6</f>
        <v>99211923.836108714</v>
      </c>
      <c r="AI17" s="14">
        <f t="shared" si="1"/>
        <v>99211923.836108714</v>
      </c>
      <c r="AJ17" s="16">
        <f>AD17</f>
        <v>97729056.962500036</v>
      </c>
      <c r="AK17" s="16">
        <f t="shared" si="2"/>
        <v>99211923.836108714</v>
      </c>
      <c r="AL17" s="16">
        <f t="shared" si="3"/>
        <v>1482866.8736086786</v>
      </c>
    </row>
    <row r="18" spans="2:38" ht="15" x14ac:dyDescent="0.35">
      <c r="B18" s="5">
        <v>1998</v>
      </c>
      <c r="C18" s="6">
        <v>8406470.9874999989</v>
      </c>
      <c r="D18" s="6">
        <v>33569386.429166667</v>
      </c>
      <c r="E18" s="6">
        <v>56225915.516666673</v>
      </c>
      <c r="F18" s="6">
        <v>69856891.537500009</v>
      </c>
      <c r="G18" s="6">
        <v>77318600.395833343</v>
      </c>
      <c r="H18" s="6">
        <v>82465415.833333343</v>
      </c>
      <c r="I18" s="6">
        <v>85262693.104166672</v>
      </c>
      <c r="J18" s="6">
        <v>91878493.244166672</v>
      </c>
      <c r="K18" s="6">
        <v>97034656.287500024</v>
      </c>
      <c r="L18" s="6">
        <v>97611430.783333346</v>
      </c>
      <c r="M18" s="6">
        <v>98058366.441666692</v>
      </c>
      <c r="N18" s="6">
        <v>98030539.525000021</v>
      </c>
      <c r="O18" s="6">
        <v>97990427.879166692</v>
      </c>
      <c r="P18" s="6">
        <v>98139585.37500003</v>
      </c>
      <c r="Q18" s="6">
        <v>98270182.175000027</v>
      </c>
      <c r="R18" s="6">
        <v>98318886.891666695</v>
      </c>
      <c r="S18" s="6">
        <v>98341939.158333361</v>
      </c>
      <c r="T18" s="6">
        <v>98392690.450000018</v>
      </c>
      <c r="U18" s="6">
        <v>98620078.229166687</v>
      </c>
      <c r="V18" s="6">
        <v>98678347.287500024</v>
      </c>
      <c r="W18" s="6">
        <v>98919100.979166687</v>
      </c>
      <c r="X18" s="6">
        <v>99074660.520833358</v>
      </c>
      <c r="Y18" s="6">
        <v>99191459.75000003</v>
      </c>
      <c r="Z18" s="6">
        <v>99602902.695833355</v>
      </c>
      <c r="AA18" s="6">
        <v>99697668.683333367</v>
      </c>
      <c r="AB18" s="6">
        <v>100089538.0916667</v>
      </c>
      <c r="AC18" s="7">
        <v>100610227.77500004</v>
      </c>
      <c r="AD18" s="14">
        <f>AC18*AC6</f>
        <v>100963425.36088826</v>
      </c>
      <c r="AE18" s="14">
        <f>AD18*AD6</f>
        <v>101188723.81365582</v>
      </c>
      <c r="AF18" s="14">
        <f>AE18*AE6</f>
        <v>102326994.00884692</v>
      </c>
      <c r="AG18" s="14">
        <f>AF18*AF6</f>
        <v>102403362.47792189</v>
      </c>
      <c r="AH18" s="14">
        <f>AG18*AG6</f>
        <v>102495368.09692806</v>
      </c>
      <c r="AI18" s="14">
        <f t="shared" si="1"/>
        <v>102495368.09692806</v>
      </c>
      <c r="AJ18" s="16">
        <f>AC18</f>
        <v>100610227.77500004</v>
      </c>
      <c r="AK18" s="16">
        <f t="shared" si="2"/>
        <v>102495368.09692806</v>
      </c>
      <c r="AL18" s="16">
        <f t="shared" si="3"/>
        <v>1885140.3219280243</v>
      </c>
    </row>
    <row r="19" spans="2:38" ht="15" x14ac:dyDescent="0.35">
      <c r="B19" s="5">
        <v>1999</v>
      </c>
      <c r="C19" s="6">
        <v>9854142.645833334</v>
      </c>
      <c r="D19" s="6">
        <v>33501760.941666663</v>
      </c>
      <c r="E19" s="6">
        <v>57682620.141666658</v>
      </c>
      <c r="F19" s="6">
        <v>72012964.154166669</v>
      </c>
      <c r="G19" s="6">
        <v>79447232.383333325</v>
      </c>
      <c r="H19" s="6">
        <v>84108022.320833325</v>
      </c>
      <c r="I19" s="6">
        <v>92799907.364166662</v>
      </c>
      <c r="J19" s="6">
        <v>99349954.954166651</v>
      </c>
      <c r="K19" s="6">
        <v>99695050.345833316</v>
      </c>
      <c r="L19" s="6">
        <v>100061288.01666665</v>
      </c>
      <c r="M19" s="6">
        <v>100362607.94583333</v>
      </c>
      <c r="N19" s="6">
        <v>100693516.67499998</v>
      </c>
      <c r="O19" s="6">
        <v>100884700.45833333</v>
      </c>
      <c r="P19" s="6">
        <v>101144947.99583332</v>
      </c>
      <c r="Q19" s="6">
        <v>101402456.64999999</v>
      </c>
      <c r="R19" s="6">
        <v>101453934.00416666</v>
      </c>
      <c r="S19" s="6">
        <v>101549766.48333332</v>
      </c>
      <c r="T19" s="6">
        <v>101754034.93749999</v>
      </c>
      <c r="U19" s="6">
        <v>101655635.22916666</v>
      </c>
      <c r="V19" s="6">
        <v>101874347.04583332</v>
      </c>
      <c r="W19" s="6">
        <v>101879429.41666666</v>
      </c>
      <c r="X19" s="6">
        <v>101889401.3</v>
      </c>
      <c r="Y19" s="6">
        <v>102078478.02083333</v>
      </c>
      <c r="Z19" s="6">
        <v>101831790.59583333</v>
      </c>
      <c r="AA19" s="6">
        <v>101981009.61666666</v>
      </c>
      <c r="AB19" s="7">
        <v>101916438.20416667</v>
      </c>
      <c r="AC19" s="14">
        <f t="shared" ref="AC19:AH19" si="4">AB19*AB6</f>
        <v>102139681.02779077</v>
      </c>
      <c r="AD19" s="14">
        <f t="shared" si="4"/>
        <v>102498247.84112795</v>
      </c>
      <c r="AE19" s="14">
        <f t="shared" si="4"/>
        <v>102726971.22850758</v>
      </c>
      <c r="AF19" s="14">
        <f t="shared" si="4"/>
        <v>103882545.1421286</v>
      </c>
      <c r="AG19" s="14">
        <f t="shared" si="4"/>
        <v>103960074.54688597</v>
      </c>
      <c r="AH19" s="14">
        <f t="shared" si="4"/>
        <v>104053478.81388626</v>
      </c>
      <c r="AI19" s="14">
        <f t="shared" si="1"/>
        <v>104053478.81388626</v>
      </c>
      <c r="AJ19" s="16">
        <f>AB19</f>
        <v>101916438.20416667</v>
      </c>
      <c r="AK19" s="16">
        <f t="shared" si="2"/>
        <v>104053478.81388626</v>
      </c>
      <c r="AL19" s="16">
        <f t="shared" si="3"/>
        <v>2137040.6097195894</v>
      </c>
    </row>
    <row r="20" spans="2:38" ht="15" x14ac:dyDescent="0.35">
      <c r="B20" s="5">
        <v>2000</v>
      </c>
      <c r="C20" s="6">
        <v>7989981.5625</v>
      </c>
      <c r="D20" s="6">
        <v>33420719.779166669</v>
      </c>
      <c r="E20" s="6">
        <v>60773952.929166667</v>
      </c>
      <c r="F20" s="6">
        <v>76778541.004166663</v>
      </c>
      <c r="G20" s="6">
        <v>84634975.070833325</v>
      </c>
      <c r="H20" s="6">
        <v>94133199.120833337</v>
      </c>
      <c r="I20" s="6">
        <v>102646943.52916667</v>
      </c>
      <c r="J20" s="6">
        <v>103197694.3875</v>
      </c>
      <c r="K20" s="6">
        <v>103845433.075</v>
      </c>
      <c r="L20" s="6">
        <v>104101770.8125</v>
      </c>
      <c r="M20" s="6">
        <v>104237237.22083333</v>
      </c>
      <c r="N20" s="6">
        <v>104304536.75833333</v>
      </c>
      <c r="O20" s="6">
        <v>104548947.15416665</v>
      </c>
      <c r="P20" s="6">
        <v>104624730.38333333</v>
      </c>
      <c r="Q20" s="6">
        <v>104595272.79166666</v>
      </c>
      <c r="R20" s="6">
        <v>104629077.20833331</v>
      </c>
      <c r="S20" s="6">
        <v>104789055.90416665</v>
      </c>
      <c r="T20" s="6">
        <v>104743948.70833331</v>
      </c>
      <c r="U20" s="6">
        <v>104849394.68749999</v>
      </c>
      <c r="V20" s="6">
        <v>104830791.25833331</v>
      </c>
      <c r="W20" s="6">
        <v>104787622.56666665</v>
      </c>
      <c r="X20" s="6">
        <v>104871683.01249997</v>
      </c>
      <c r="Y20" s="6">
        <v>104734435.44166665</v>
      </c>
      <c r="Z20" s="6">
        <v>104735036.62499999</v>
      </c>
      <c r="AA20" s="7">
        <v>104689057.22916664</v>
      </c>
      <c r="AB20" s="14">
        <f t="shared" ref="AB20:AH20" si="5">AA20*AA6</f>
        <v>104854503.64738877</v>
      </c>
      <c r="AC20" s="14">
        <f t="shared" si="5"/>
        <v>105084182.15535483</v>
      </c>
      <c r="AD20" s="14">
        <f t="shared" si="5"/>
        <v>105453085.79739124</v>
      </c>
      <c r="AE20" s="14">
        <f t="shared" si="5"/>
        <v>105688402.86379221</v>
      </c>
      <c r="AF20" s="14">
        <f t="shared" si="5"/>
        <v>106877289.87039925</v>
      </c>
      <c r="AG20" s="14">
        <f t="shared" si="5"/>
        <v>106957054.30680573</v>
      </c>
      <c r="AH20" s="14">
        <f t="shared" si="5"/>
        <v>107053151.2488441</v>
      </c>
      <c r="AI20" s="14">
        <f t="shared" si="1"/>
        <v>107053151.2488441</v>
      </c>
      <c r="AJ20" s="16">
        <f>AA20</f>
        <v>104689057.22916664</v>
      </c>
      <c r="AK20" s="16">
        <f t="shared" si="2"/>
        <v>107053151.2488441</v>
      </c>
      <c r="AL20" s="16">
        <f t="shared" si="3"/>
        <v>2364094.0196774602</v>
      </c>
    </row>
    <row r="21" spans="2:38" ht="15" x14ac:dyDescent="0.35">
      <c r="B21" s="5">
        <v>2001</v>
      </c>
      <c r="C21" s="6">
        <v>9140247.9958333336</v>
      </c>
      <c r="D21" s="6">
        <v>37331795.462499999</v>
      </c>
      <c r="E21" s="6">
        <v>64710604.283333339</v>
      </c>
      <c r="F21" s="6">
        <v>78516719.237500012</v>
      </c>
      <c r="G21" s="6">
        <v>88715909.711666659</v>
      </c>
      <c r="H21" s="6">
        <v>97660941.054166645</v>
      </c>
      <c r="I21" s="6">
        <v>99235069.708333313</v>
      </c>
      <c r="J21" s="6">
        <v>99956734.304166645</v>
      </c>
      <c r="K21" s="6">
        <v>100498601.21249999</v>
      </c>
      <c r="L21" s="6">
        <v>100825303.67083332</v>
      </c>
      <c r="M21" s="6">
        <v>100871009.99999999</v>
      </c>
      <c r="N21" s="6">
        <v>101247065.52916667</v>
      </c>
      <c r="O21" s="6">
        <v>101612691.88333333</v>
      </c>
      <c r="P21" s="6">
        <v>101655550.89999999</v>
      </c>
      <c r="Q21" s="6">
        <v>101557781.96249999</v>
      </c>
      <c r="R21" s="6">
        <v>101851977.04166666</v>
      </c>
      <c r="S21" s="6">
        <v>102185289.425</v>
      </c>
      <c r="T21" s="6">
        <v>102044863.14166665</v>
      </c>
      <c r="U21" s="6">
        <v>101859855.89166665</v>
      </c>
      <c r="V21" s="6">
        <v>102081933.23333332</v>
      </c>
      <c r="W21" s="6">
        <v>102065731.01249999</v>
      </c>
      <c r="X21" s="6">
        <v>102013851.24166666</v>
      </c>
      <c r="Y21" s="6">
        <v>102082672.30833332</v>
      </c>
      <c r="Z21" s="7">
        <v>102159370.87499999</v>
      </c>
      <c r="AA21" s="14">
        <f t="shared" ref="AA21:AH21" si="6">Z21*Z6</f>
        <v>102260149.98157275</v>
      </c>
      <c r="AB21" s="14">
        <f t="shared" si="6"/>
        <v>102421757.8514791</v>
      </c>
      <c r="AC21" s="14">
        <f t="shared" si="6"/>
        <v>102646107.55233407</v>
      </c>
      <c r="AD21" s="14">
        <f t="shared" si="6"/>
        <v>103006452.20307261</v>
      </c>
      <c r="AE21" s="14">
        <f t="shared" si="6"/>
        <v>103236309.64128329</v>
      </c>
      <c r="AF21" s="14">
        <f t="shared" si="6"/>
        <v>104397613.09385568</v>
      </c>
      <c r="AG21" s="14">
        <f t="shared" si="6"/>
        <v>104475526.90305415</v>
      </c>
      <c r="AH21" s="14">
        <f t="shared" si="6"/>
        <v>104569394.28485799</v>
      </c>
      <c r="AI21" s="14">
        <f t="shared" si="1"/>
        <v>104569394.28485799</v>
      </c>
      <c r="AJ21" s="16">
        <f>Z21</f>
        <v>102159370.87499999</v>
      </c>
      <c r="AK21" s="16">
        <f t="shared" si="2"/>
        <v>104569394.28485799</v>
      </c>
      <c r="AL21" s="16">
        <f t="shared" si="3"/>
        <v>2410023.4098580033</v>
      </c>
    </row>
    <row r="22" spans="2:38" ht="15" x14ac:dyDescent="0.35">
      <c r="B22" s="5">
        <v>2002</v>
      </c>
      <c r="C22" s="6">
        <v>8982265.8041666672</v>
      </c>
      <c r="D22" s="6">
        <v>35007210.479166664</v>
      </c>
      <c r="E22" s="6">
        <v>57605111.595833331</v>
      </c>
      <c r="F22" s="6">
        <v>76035714.74166666</v>
      </c>
      <c r="G22" s="6">
        <v>90555900.654166639</v>
      </c>
      <c r="H22" s="6">
        <v>94498666.333333313</v>
      </c>
      <c r="I22" s="6">
        <v>96047437.424999982</v>
      </c>
      <c r="J22" s="6">
        <v>97300987.720833316</v>
      </c>
      <c r="K22" s="6">
        <v>98691947.487499982</v>
      </c>
      <c r="L22" s="6">
        <v>99076222.037499979</v>
      </c>
      <c r="M22" s="6">
        <v>99280409.962499976</v>
      </c>
      <c r="N22" s="6">
        <v>99425110.795833305</v>
      </c>
      <c r="O22" s="6">
        <v>99225358.829166651</v>
      </c>
      <c r="P22" s="6">
        <v>99319687.091666654</v>
      </c>
      <c r="Q22" s="6">
        <v>99465985.091666639</v>
      </c>
      <c r="R22" s="6">
        <v>99530484.849999979</v>
      </c>
      <c r="S22" s="6">
        <v>99479021.479166642</v>
      </c>
      <c r="T22" s="6">
        <v>99818143.791666642</v>
      </c>
      <c r="U22" s="6">
        <v>99915557.083333313</v>
      </c>
      <c r="V22" s="6">
        <v>100246280.51249997</v>
      </c>
      <c r="W22" s="6">
        <v>100492584.4708333</v>
      </c>
      <c r="X22" s="6">
        <v>100345832.43333331</v>
      </c>
      <c r="Y22" s="7">
        <v>100330450.01666664</v>
      </c>
      <c r="Z22" s="14">
        <f t="shared" ref="Z22:AH22" si="7">Y22*Y6</f>
        <v>100378323.25522962</v>
      </c>
      <c r="AA22" s="14">
        <f t="shared" si="7"/>
        <v>100477345.37772597</v>
      </c>
      <c r="AB22" s="14">
        <f t="shared" si="7"/>
        <v>100636135.77421243</v>
      </c>
      <c r="AC22" s="14">
        <f t="shared" si="7"/>
        <v>100856574.15986174</v>
      </c>
      <c r="AD22" s="14">
        <f t="shared" si="7"/>
        <v>101210636.55791022</v>
      </c>
      <c r="AE22" s="14">
        <f t="shared" si="7"/>
        <v>101436486.65896028</v>
      </c>
      <c r="AF22" s="14">
        <f t="shared" si="7"/>
        <v>102577543.93409128</v>
      </c>
      <c r="AG22" s="14">
        <f t="shared" si="7"/>
        <v>102654099.39306469</v>
      </c>
      <c r="AH22" s="14">
        <f t="shared" si="7"/>
        <v>102746330.2898794</v>
      </c>
      <c r="AI22" s="14">
        <f t="shared" si="1"/>
        <v>102746330.2898794</v>
      </c>
      <c r="AJ22" s="16">
        <f>Y22</f>
        <v>100330450.01666664</v>
      </c>
      <c r="AK22" s="16">
        <f t="shared" si="2"/>
        <v>102746330.2898794</v>
      </c>
      <c r="AL22" s="16">
        <f t="shared" si="3"/>
        <v>2415880.2732127607</v>
      </c>
    </row>
    <row r="23" spans="2:38" ht="15" x14ac:dyDescent="0.35">
      <c r="B23" s="5">
        <v>2003</v>
      </c>
      <c r="C23" s="6">
        <v>9310300.7583333347</v>
      </c>
      <c r="D23" s="6">
        <v>36988681.545833342</v>
      </c>
      <c r="E23" s="6">
        <v>66979925.502500005</v>
      </c>
      <c r="F23" s="6">
        <v>95586684.925000027</v>
      </c>
      <c r="G23" s="6">
        <v>103075004.37500003</v>
      </c>
      <c r="H23" s="6">
        <v>107215759.36250003</v>
      </c>
      <c r="I23" s="6">
        <v>109377964.59583336</v>
      </c>
      <c r="J23" s="6">
        <v>111170746.18333337</v>
      </c>
      <c r="K23" s="6">
        <v>112023966.05833337</v>
      </c>
      <c r="L23" s="6">
        <v>112562589.2666667</v>
      </c>
      <c r="M23" s="6">
        <v>112567923.90833336</v>
      </c>
      <c r="N23" s="6">
        <v>112547369.56666669</v>
      </c>
      <c r="O23" s="6">
        <v>112331076.87916669</v>
      </c>
      <c r="P23" s="6">
        <v>112621478.16250002</v>
      </c>
      <c r="Q23" s="6">
        <v>112743380.10000001</v>
      </c>
      <c r="R23" s="6">
        <v>113044356.06250001</v>
      </c>
      <c r="S23" s="6">
        <v>113462540.11666669</v>
      </c>
      <c r="T23" s="6">
        <v>113519101.02916668</v>
      </c>
      <c r="U23" s="6">
        <v>114164451.42500001</v>
      </c>
      <c r="V23" s="6">
        <v>114122589.85000002</v>
      </c>
      <c r="W23" s="6">
        <v>114375378.58333334</v>
      </c>
      <c r="X23" s="7">
        <v>114348859.95</v>
      </c>
      <c r="Y23" s="14">
        <f t="shared" ref="Y23:AH23" si="8">X23*X6</f>
        <v>114447516.84116058</v>
      </c>
      <c r="Z23" s="14">
        <f t="shared" si="8"/>
        <v>114502126.11756438</v>
      </c>
      <c r="AA23" s="14">
        <f t="shared" si="8"/>
        <v>114615081.21773751</v>
      </c>
      <c r="AB23" s="14">
        <f t="shared" si="8"/>
        <v>114796214.3291018</v>
      </c>
      <c r="AC23" s="14">
        <f t="shared" si="8"/>
        <v>115047669.65348086</v>
      </c>
      <c r="AD23" s="14">
        <f t="shared" si="8"/>
        <v>115451550.65129103</v>
      </c>
      <c r="AE23" s="14">
        <f t="shared" si="8"/>
        <v>115709179.15030815</v>
      </c>
      <c r="AF23" s="14">
        <f t="shared" si="8"/>
        <v>117010789.69516857</v>
      </c>
      <c r="AG23" s="14">
        <f t="shared" si="8"/>
        <v>117098116.94406147</v>
      </c>
      <c r="AH23" s="14">
        <f t="shared" si="8"/>
        <v>117203325.25434737</v>
      </c>
      <c r="AI23" s="14">
        <f t="shared" si="1"/>
        <v>117203325.25434737</v>
      </c>
      <c r="AJ23" s="16">
        <f>X23</f>
        <v>114348859.95</v>
      </c>
      <c r="AK23" s="16">
        <f t="shared" si="2"/>
        <v>117203325.25434737</v>
      </c>
      <c r="AL23" s="16">
        <f t="shared" si="3"/>
        <v>2854465.3043473661</v>
      </c>
    </row>
    <row r="24" spans="2:38" ht="15" x14ac:dyDescent="0.35">
      <c r="B24" s="5">
        <v>2004</v>
      </c>
      <c r="C24" s="6">
        <v>9772040.8750000019</v>
      </c>
      <c r="D24" s="6">
        <v>34200572.822500005</v>
      </c>
      <c r="E24" s="6">
        <v>63386739.566666663</v>
      </c>
      <c r="F24" s="6">
        <v>75725913.041666657</v>
      </c>
      <c r="G24" s="6">
        <v>82021303.583333328</v>
      </c>
      <c r="H24" s="6">
        <v>85521135.9375</v>
      </c>
      <c r="I24" s="6">
        <v>87286666.208333343</v>
      </c>
      <c r="J24" s="6">
        <v>89509598.725000009</v>
      </c>
      <c r="K24" s="6">
        <v>90355039.870833337</v>
      </c>
      <c r="L24" s="6">
        <v>91416543.854166672</v>
      </c>
      <c r="M24" s="6">
        <v>91373947.462500006</v>
      </c>
      <c r="N24" s="6">
        <v>91478738.329166681</v>
      </c>
      <c r="O24" s="6">
        <v>91901838.933333337</v>
      </c>
      <c r="P24" s="6">
        <v>92891572.245833337</v>
      </c>
      <c r="Q24" s="6">
        <v>92666679.441666663</v>
      </c>
      <c r="R24" s="6">
        <v>92627650.379166663</v>
      </c>
      <c r="S24" s="6">
        <v>92802918.558333337</v>
      </c>
      <c r="T24" s="6">
        <v>92746349.558333337</v>
      </c>
      <c r="U24" s="6">
        <v>92504672.266666666</v>
      </c>
      <c r="V24" s="6">
        <v>92441944.762500003</v>
      </c>
      <c r="W24" s="7">
        <v>93024656.141666681</v>
      </c>
      <c r="X24" s="14">
        <f t="shared" ref="X24:AH24" si="9">W24*W6</f>
        <v>93069269.8852126</v>
      </c>
      <c r="Y24" s="14">
        <f t="shared" si="9"/>
        <v>93149567.361142606</v>
      </c>
      <c r="Z24" s="14">
        <f t="shared" si="9"/>
        <v>93194014.201155558</v>
      </c>
      <c r="AA24" s="14">
        <f t="shared" si="9"/>
        <v>93285949.081026867</v>
      </c>
      <c r="AB24" s="14">
        <f t="shared" si="9"/>
        <v>93433374.481105909</v>
      </c>
      <c r="AC24" s="14">
        <f t="shared" si="9"/>
        <v>93638035.580997422</v>
      </c>
      <c r="AD24" s="14">
        <f t="shared" si="9"/>
        <v>93966756.913270786</v>
      </c>
      <c r="AE24" s="14">
        <f t="shared" si="9"/>
        <v>94176442.399559245</v>
      </c>
      <c r="AF24" s="14">
        <f t="shared" si="9"/>
        <v>95235831.563019395</v>
      </c>
      <c r="AG24" s="14">
        <f t="shared" si="9"/>
        <v>95306907.770504981</v>
      </c>
      <c r="AH24" s="14">
        <f t="shared" si="9"/>
        <v>95392537.488443986</v>
      </c>
      <c r="AI24" s="14">
        <f t="shared" si="1"/>
        <v>95392537.488443986</v>
      </c>
      <c r="AJ24" s="16">
        <f>W24</f>
        <v>93024656.141666681</v>
      </c>
      <c r="AK24" s="16">
        <f t="shared" si="2"/>
        <v>95392537.488443986</v>
      </c>
      <c r="AL24" s="16">
        <f t="shared" si="3"/>
        <v>2367881.346777305</v>
      </c>
    </row>
    <row r="25" spans="2:38" ht="15" x14ac:dyDescent="0.35">
      <c r="B25" s="5">
        <v>2005</v>
      </c>
      <c r="C25" s="6">
        <v>7680670.4825000018</v>
      </c>
      <c r="D25" s="6">
        <v>36126608.304166652</v>
      </c>
      <c r="E25" s="6">
        <v>56190576.429166645</v>
      </c>
      <c r="F25" s="6">
        <v>68652534.920833319</v>
      </c>
      <c r="G25" s="6">
        <v>74350004.133333325</v>
      </c>
      <c r="H25" s="6">
        <v>77341458.912499979</v>
      </c>
      <c r="I25" s="6">
        <v>78628271.687499985</v>
      </c>
      <c r="J25" s="6">
        <v>79360494.179166645</v>
      </c>
      <c r="K25" s="6">
        <v>80258372.091666654</v>
      </c>
      <c r="L25" s="6">
        <v>82215767.979166642</v>
      </c>
      <c r="M25" s="6">
        <v>82955499.395833313</v>
      </c>
      <c r="N25" s="6">
        <v>82523209.095833316</v>
      </c>
      <c r="O25" s="6">
        <v>82528416.44583331</v>
      </c>
      <c r="P25" s="6">
        <v>82612047.287499979</v>
      </c>
      <c r="Q25" s="6">
        <v>82529199.733333319</v>
      </c>
      <c r="R25" s="6">
        <v>82659400.091666654</v>
      </c>
      <c r="S25" s="6">
        <v>83055292.354166657</v>
      </c>
      <c r="T25" s="6">
        <v>83261828.287499994</v>
      </c>
      <c r="U25" s="6">
        <v>83309818.758333325</v>
      </c>
      <c r="V25" s="7">
        <v>83186246.07083334</v>
      </c>
      <c r="W25" s="14">
        <f t="shared" ref="W25:AH25" si="10">V25*V6</f>
        <v>83302443.224493295</v>
      </c>
      <c r="X25" s="14">
        <f t="shared" si="10"/>
        <v>83342394.286855802</v>
      </c>
      <c r="Y25" s="14">
        <f t="shared" si="10"/>
        <v>83414299.695670679</v>
      </c>
      <c r="Z25" s="14">
        <f t="shared" si="10"/>
        <v>83454101.29795824</v>
      </c>
      <c r="AA25" s="14">
        <f t="shared" si="10"/>
        <v>83536427.859844878</v>
      </c>
      <c r="AB25" s="14">
        <f t="shared" si="10"/>
        <v>83668445.504728511</v>
      </c>
      <c r="AC25" s="14">
        <f t="shared" si="10"/>
        <v>83851717.019626796</v>
      </c>
      <c r="AD25" s="14">
        <f t="shared" si="10"/>
        <v>84146082.957155004</v>
      </c>
      <c r="AE25" s="14">
        <f t="shared" si="10"/>
        <v>84333853.74869594</v>
      </c>
      <c r="AF25" s="14">
        <f t="shared" si="10"/>
        <v>85282523.803518698</v>
      </c>
      <c r="AG25" s="14">
        <f t="shared" si="10"/>
        <v>85346171.679084763</v>
      </c>
      <c r="AH25" s="14">
        <f t="shared" si="10"/>
        <v>85422852.045482248</v>
      </c>
      <c r="AI25" s="14">
        <f t="shared" si="1"/>
        <v>85422852.045482248</v>
      </c>
      <c r="AJ25" s="16">
        <f>V25</f>
        <v>83186246.07083334</v>
      </c>
      <c r="AK25" s="16">
        <f t="shared" si="2"/>
        <v>85422852.045482248</v>
      </c>
      <c r="AL25" s="16">
        <f t="shared" si="3"/>
        <v>2236605.9746489078</v>
      </c>
    </row>
    <row r="26" spans="2:38" ht="15" x14ac:dyDescent="0.35">
      <c r="B26" s="5">
        <v>2006</v>
      </c>
      <c r="C26" s="6">
        <v>9666714.6749999989</v>
      </c>
      <c r="D26" s="6">
        <v>30446319.024999995</v>
      </c>
      <c r="E26" s="6">
        <v>47280180.687499993</v>
      </c>
      <c r="F26" s="6">
        <v>55664730.62083333</v>
      </c>
      <c r="G26" s="6">
        <v>60965353.666666664</v>
      </c>
      <c r="H26" s="6">
        <v>63387761.966666654</v>
      </c>
      <c r="I26" s="6">
        <v>65346131.824999988</v>
      </c>
      <c r="J26" s="6">
        <v>66852171.987499997</v>
      </c>
      <c r="K26" s="6">
        <v>67479097.341666654</v>
      </c>
      <c r="L26" s="6">
        <v>67749406.904166654</v>
      </c>
      <c r="M26" s="6">
        <v>67982754.049999997</v>
      </c>
      <c r="N26" s="6">
        <v>68308232.11666666</v>
      </c>
      <c r="O26" s="6">
        <v>68801969.50833334</v>
      </c>
      <c r="P26" s="6">
        <v>69198314.354166672</v>
      </c>
      <c r="Q26" s="6">
        <v>69144585.279166669</v>
      </c>
      <c r="R26" s="6">
        <v>70071536.204166666</v>
      </c>
      <c r="S26" s="6">
        <v>70213231.700000003</v>
      </c>
      <c r="T26" s="6">
        <v>70254387.358333334</v>
      </c>
      <c r="U26" s="7">
        <v>70580025.658333331</v>
      </c>
      <c r="V26" s="14">
        <f t="shared" ref="V26:AH26" si="11">U26*U6</f>
        <v>70592548.801871419</v>
      </c>
      <c r="W26" s="14">
        <f t="shared" si="11"/>
        <v>70691154.684788585</v>
      </c>
      <c r="X26" s="14">
        <f t="shared" si="11"/>
        <v>70725057.492677167</v>
      </c>
      <c r="Y26" s="14">
        <f t="shared" si="11"/>
        <v>70786077.028004691</v>
      </c>
      <c r="Z26" s="14">
        <f t="shared" si="11"/>
        <v>70819853.002815291</v>
      </c>
      <c r="AA26" s="14">
        <f t="shared" si="11"/>
        <v>70889716.016380355</v>
      </c>
      <c r="AB26" s="14">
        <f t="shared" si="11"/>
        <v>71001747.301350474</v>
      </c>
      <c r="AC26" s="14">
        <f t="shared" si="11"/>
        <v>71157273.051946715</v>
      </c>
      <c r="AD26" s="14">
        <f t="shared" si="11"/>
        <v>71407074.464945614</v>
      </c>
      <c r="AE26" s="14">
        <f t="shared" si="11"/>
        <v>71566418.339582443</v>
      </c>
      <c r="AF26" s="14">
        <f t="shared" si="11"/>
        <v>72371467.735427588</v>
      </c>
      <c r="AG26" s="14">
        <f t="shared" si="11"/>
        <v>72425479.858515903</v>
      </c>
      <c r="AH26" s="14">
        <f t="shared" si="11"/>
        <v>72490551.463050753</v>
      </c>
      <c r="AI26" s="14">
        <f t="shared" si="1"/>
        <v>72490551.463050753</v>
      </c>
      <c r="AJ26" s="16">
        <f>U26</f>
        <v>70580025.658333331</v>
      </c>
      <c r="AK26" s="16">
        <f t="shared" si="2"/>
        <v>72490551.463050753</v>
      </c>
      <c r="AL26" s="16">
        <f t="shared" si="3"/>
        <v>1910525.8047174215</v>
      </c>
    </row>
    <row r="27" spans="2:38" ht="15" x14ac:dyDescent="0.35">
      <c r="B27" s="5">
        <v>2007</v>
      </c>
      <c r="C27" s="6">
        <v>7688889.9833333343</v>
      </c>
      <c r="D27" s="6">
        <v>28397884.445833329</v>
      </c>
      <c r="E27" s="6">
        <v>46001559.337499999</v>
      </c>
      <c r="F27" s="6">
        <v>56845003.358333334</v>
      </c>
      <c r="G27" s="6">
        <v>61061280.237499997</v>
      </c>
      <c r="H27" s="6">
        <v>64603390.69166667</v>
      </c>
      <c r="I27" s="6">
        <v>66259497.624999993</v>
      </c>
      <c r="J27" s="6">
        <v>67034062.887499996</v>
      </c>
      <c r="K27" s="6">
        <v>67466261.983333334</v>
      </c>
      <c r="L27" s="6">
        <v>67932431.44583334</v>
      </c>
      <c r="M27" s="6">
        <v>69482146.362500012</v>
      </c>
      <c r="N27" s="6">
        <v>69334631.520833343</v>
      </c>
      <c r="O27" s="6">
        <v>69184023.07083334</v>
      </c>
      <c r="P27" s="6">
        <v>68634356.916666672</v>
      </c>
      <c r="Q27" s="6">
        <v>68932655.675000012</v>
      </c>
      <c r="R27" s="6">
        <v>69180075.050000012</v>
      </c>
      <c r="S27" s="6">
        <v>69050502.925000012</v>
      </c>
      <c r="T27" s="7">
        <v>69046402.245833337</v>
      </c>
      <c r="U27" s="14">
        <f t="shared" ref="U27:AH27" si="12">T27*T6</f>
        <v>69096567.514035434</v>
      </c>
      <c r="V27" s="14">
        <f t="shared" si="12"/>
        <v>69108827.444871336</v>
      </c>
      <c r="W27" s="14">
        <f t="shared" si="12"/>
        <v>69205360.819331259</v>
      </c>
      <c r="X27" s="14">
        <f t="shared" si="12"/>
        <v>69238551.054561958</v>
      </c>
      <c r="Y27" s="14">
        <f t="shared" si="12"/>
        <v>69298288.075101495</v>
      </c>
      <c r="Z27" s="14">
        <f t="shared" si="12"/>
        <v>69331354.143044725</v>
      </c>
      <c r="AA27" s="14">
        <f t="shared" si="12"/>
        <v>69399748.768698454</v>
      </c>
      <c r="AB27" s="14">
        <f t="shared" si="12"/>
        <v>69509425.368748099</v>
      </c>
      <c r="AC27" s="14">
        <f t="shared" si="12"/>
        <v>69661682.263329938</v>
      </c>
      <c r="AD27" s="14">
        <f t="shared" si="12"/>
        <v>69906233.324871555</v>
      </c>
      <c r="AE27" s="14">
        <f t="shared" si="12"/>
        <v>70062228.093775302</v>
      </c>
      <c r="AF27" s="14">
        <f t="shared" si="12"/>
        <v>70850356.879693076</v>
      </c>
      <c r="AG27" s="14">
        <f t="shared" si="12"/>
        <v>70903233.770495221</v>
      </c>
      <c r="AH27" s="14">
        <f t="shared" si="12"/>
        <v>70966937.693440139</v>
      </c>
      <c r="AI27" s="14">
        <f t="shared" si="1"/>
        <v>70966937.693440139</v>
      </c>
      <c r="AJ27" s="16">
        <f>T27</f>
        <v>69046402.245833337</v>
      </c>
      <c r="AK27" s="16">
        <f t="shared" si="2"/>
        <v>70966937.693440139</v>
      </c>
      <c r="AL27" s="16">
        <f t="shared" si="3"/>
        <v>1920535.447606802</v>
      </c>
    </row>
    <row r="28" spans="2:38" ht="15" x14ac:dyDescent="0.35">
      <c r="B28" s="5">
        <v>2008</v>
      </c>
      <c r="C28" s="6">
        <v>7564842.9916666672</v>
      </c>
      <c r="D28" s="6">
        <v>30965309.8125</v>
      </c>
      <c r="E28" s="6">
        <v>48594721.220833339</v>
      </c>
      <c r="F28" s="6">
        <v>57590859.379166663</v>
      </c>
      <c r="G28" s="6">
        <v>62427811.987499997</v>
      </c>
      <c r="H28" s="6">
        <v>65902160.733333334</v>
      </c>
      <c r="I28" s="6">
        <v>66730187.433333337</v>
      </c>
      <c r="J28" s="6">
        <v>67255612.550000012</v>
      </c>
      <c r="K28" s="6">
        <v>67925332.700000018</v>
      </c>
      <c r="L28" s="6">
        <v>68817419.579166681</v>
      </c>
      <c r="M28" s="6">
        <v>68434374.425000012</v>
      </c>
      <c r="N28" s="6">
        <v>68320391.025000006</v>
      </c>
      <c r="O28" s="6">
        <v>68239587.404166669</v>
      </c>
      <c r="P28" s="6">
        <v>68779426.833333343</v>
      </c>
      <c r="Q28" s="6">
        <v>68804065.750000015</v>
      </c>
      <c r="R28" s="6">
        <v>68796085.329166681</v>
      </c>
      <c r="S28" s="7">
        <v>69243020.000000015</v>
      </c>
      <c r="T28" s="14">
        <f t="shared" ref="T28:AH28" si="13">S28*S6</f>
        <v>69304767.387070999</v>
      </c>
      <c r="U28" s="14">
        <f t="shared" si="13"/>
        <v>69355120.368987098</v>
      </c>
      <c r="V28" s="14">
        <f t="shared" si="13"/>
        <v>69367426.175330758</v>
      </c>
      <c r="W28" s="14">
        <f t="shared" si="13"/>
        <v>69464320.768595934</v>
      </c>
      <c r="X28" s="14">
        <f t="shared" si="13"/>
        <v>69497635.198564291</v>
      </c>
      <c r="Y28" s="14">
        <f t="shared" si="13"/>
        <v>69557595.749414563</v>
      </c>
      <c r="Z28" s="14">
        <f t="shared" si="13"/>
        <v>69590785.547473148</v>
      </c>
      <c r="AA28" s="14">
        <f t="shared" si="13"/>
        <v>69659436.099381417</v>
      </c>
      <c r="AB28" s="14">
        <f t="shared" si="13"/>
        <v>69769523.098949939</v>
      </c>
      <c r="AC28" s="14">
        <f t="shared" si="13"/>
        <v>69922349.724506795</v>
      </c>
      <c r="AD28" s="14">
        <f t="shared" si="13"/>
        <v>70167815.873113051</v>
      </c>
      <c r="AE28" s="14">
        <f t="shared" si="13"/>
        <v>70324394.359765857</v>
      </c>
      <c r="AF28" s="14">
        <f t="shared" si="13"/>
        <v>71115472.249452457</v>
      </c>
      <c r="AG28" s="14">
        <f t="shared" si="13"/>
        <v>71168547.000605255</v>
      </c>
      <c r="AH28" s="14">
        <f t="shared" si="13"/>
        <v>71232489.297636494</v>
      </c>
      <c r="AI28" s="14">
        <f t="shared" si="1"/>
        <v>71232489.297636494</v>
      </c>
      <c r="AJ28" s="16">
        <f>S28</f>
        <v>69243020.000000015</v>
      </c>
      <c r="AK28" s="16">
        <f t="shared" si="2"/>
        <v>71232489.297636494</v>
      </c>
      <c r="AL28" s="16">
        <f t="shared" si="3"/>
        <v>1989469.2976364791</v>
      </c>
    </row>
    <row r="29" spans="2:38" ht="15" x14ac:dyDescent="0.35">
      <c r="B29" s="5">
        <v>2009</v>
      </c>
      <c r="C29" s="6">
        <v>9998209.020833334</v>
      </c>
      <c r="D29" s="6">
        <v>38410120.358333342</v>
      </c>
      <c r="E29" s="6">
        <v>59933367.94166667</v>
      </c>
      <c r="F29" s="6">
        <v>73220790.720833346</v>
      </c>
      <c r="G29" s="6">
        <v>80634376.42916669</v>
      </c>
      <c r="H29" s="6">
        <v>82350175.050000012</v>
      </c>
      <c r="I29" s="6">
        <v>83892584.487500027</v>
      </c>
      <c r="J29" s="6">
        <v>85289823.070833355</v>
      </c>
      <c r="K29" s="6">
        <v>86101993.187500015</v>
      </c>
      <c r="L29" s="6">
        <v>87117985.44583334</v>
      </c>
      <c r="M29" s="6">
        <v>87322858.633333355</v>
      </c>
      <c r="N29" s="6">
        <v>87475268.891666681</v>
      </c>
      <c r="O29" s="6">
        <v>88179337.841666684</v>
      </c>
      <c r="P29" s="6">
        <v>88912903.716666684</v>
      </c>
      <c r="Q29" s="6">
        <v>89065202.187500015</v>
      </c>
      <c r="R29" s="7">
        <v>89516484.079166681</v>
      </c>
      <c r="S29" s="14">
        <f t="shared" ref="S29:AH29" si="14">R29*R6</f>
        <v>89650304.099884734</v>
      </c>
      <c r="T29" s="14">
        <f t="shared" si="14"/>
        <v>89730249.660148963</v>
      </c>
      <c r="U29" s="14">
        <f t="shared" si="14"/>
        <v>89795442.659257233</v>
      </c>
      <c r="V29" s="14">
        <f t="shared" si="14"/>
        <v>89811375.229513466</v>
      </c>
      <c r="W29" s="14">
        <f t="shared" si="14"/>
        <v>89936826.571061805</v>
      </c>
      <c r="X29" s="14">
        <f t="shared" si="14"/>
        <v>89979959.420807198</v>
      </c>
      <c r="Y29" s="14">
        <f t="shared" si="14"/>
        <v>90057591.5289637</v>
      </c>
      <c r="Z29" s="14">
        <f t="shared" si="14"/>
        <v>90100563.01531662</v>
      </c>
      <c r="AA29" s="14">
        <f t="shared" si="14"/>
        <v>90189446.239289254</v>
      </c>
      <c r="AB29" s="14">
        <f t="shared" si="14"/>
        <v>90331978.049553484</v>
      </c>
      <c r="AC29" s="14">
        <f t="shared" si="14"/>
        <v>90529845.696801275</v>
      </c>
      <c r="AD29" s="14">
        <f t="shared" si="14"/>
        <v>90847655.562240109</v>
      </c>
      <c r="AE29" s="14">
        <f t="shared" si="14"/>
        <v>91050380.81806986</v>
      </c>
      <c r="AF29" s="14">
        <f t="shared" si="14"/>
        <v>92074604.969140947</v>
      </c>
      <c r="AG29" s="14">
        <f t="shared" si="14"/>
        <v>92143321.896578178</v>
      </c>
      <c r="AH29" s="14">
        <f t="shared" si="14"/>
        <v>92226109.250071645</v>
      </c>
      <c r="AI29" s="14">
        <f t="shared" si="1"/>
        <v>92226109.250071645</v>
      </c>
      <c r="AJ29" s="16">
        <f>R29</f>
        <v>89516484.079166681</v>
      </c>
      <c r="AK29" s="16">
        <f t="shared" si="2"/>
        <v>92226109.250071645</v>
      </c>
      <c r="AL29" s="16">
        <f t="shared" si="3"/>
        <v>2709625.1709049642</v>
      </c>
    </row>
    <row r="30" spans="2:38" ht="15" x14ac:dyDescent="0.35">
      <c r="B30" s="5">
        <v>2010</v>
      </c>
      <c r="C30" s="6">
        <v>9194446.9375</v>
      </c>
      <c r="D30" s="6">
        <v>35466950.583333328</v>
      </c>
      <c r="E30" s="6">
        <v>60055288.395833328</v>
      </c>
      <c r="F30" s="6">
        <v>77176217.766666666</v>
      </c>
      <c r="G30" s="6">
        <v>81335916.99166666</v>
      </c>
      <c r="H30" s="6">
        <v>83839373.295833319</v>
      </c>
      <c r="I30" s="6">
        <v>86091169.666666657</v>
      </c>
      <c r="J30" s="6">
        <v>88553372.520833313</v>
      </c>
      <c r="K30" s="6">
        <v>88769034.874999985</v>
      </c>
      <c r="L30" s="6">
        <v>89586671.404166654</v>
      </c>
      <c r="M30" s="6">
        <v>90482502.049999982</v>
      </c>
      <c r="N30" s="6">
        <v>90826921.545833319</v>
      </c>
      <c r="O30" s="6">
        <v>91494715.758333325</v>
      </c>
      <c r="P30" s="6">
        <v>91742729.937499985</v>
      </c>
      <c r="Q30" s="7">
        <v>92073613.849999979</v>
      </c>
      <c r="R30" s="14">
        <f t="shared" ref="R30:AH30" si="15">Q30*Q6</f>
        <v>92282122.65890339</v>
      </c>
      <c r="S30" s="14">
        <f t="shared" si="15"/>
        <v>92420077.089231551</v>
      </c>
      <c r="T30" s="14">
        <f t="shared" si="15"/>
        <v>92502492.591518402</v>
      </c>
      <c r="U30" s="14">
        <f t="shared" si="15"/>
        <v>92569699.747855008</v>
      </c>
      <c r="V30" s="14">
        <f t="shared" si="15"/>
        <v>92586124.559640035</v>
      </c>
      <c r="W30" s="14">
        <f t="shared" si="15"/>
        <v>92715451.757949665</v>
      </c>
      <c r="X30" s="14">
        <f t="shared" si="15"/>
        <v>92759917.210003302</v>
      </c>
      <c r="Y30" s="14">
        <f t="shared" si="15"/>
        <v>92839947.785386845</v>
      </c>
      <c r="Z30" s="14">
        <f t="shared" si="15"/>
        <v>92884246.888677686</v>
      </c>
      <c r="AA30" s="14">
        <f t="shared" si="15"/>
        <v>92975876.186469451</v>
      </c>
      <c r="AB30" s="14">
        <f t="shared" si="15"/>
        <v>93122811.559690386</v>
      </c>
      <c r="AC30" s="14">
        <f t="shared" si="15"/>
        <v>93326792.387147829</v>
      </c>
      <c r="AD30" s="14">
        <f t="shared" si="15"/>
        <v>93654421.083541885</v>
      </c>
      <c r="AE30" s="14">
        <f t="shared" si="15"/>
        <v>93863409.596852943</v>
      </c>
      <c r="AF30" s="14">
        <f t="shared" si="15"/>
        <v>94919277.459756985</v>
      </c>
      <c r="AG30" s="14">
        <f t="shared" si="15"/>
        <v>94990117.417243451</v>
      </c>
      <c r="AH30" s="14">
        <f t="shared" si="15"/>
        <v>95075462.510812297</v>
      </c>
      <c r="AI30" s="14">
        <f t="shared" si="1"/>
        <v>95075462.510812297</v>
      </c>
      <c r="AJ30" s="16">
        <f>Q30</f>
        <v>92073613.849999979</v>
      </c>
      <c r="AK30" s="16">
        <f t="shared" si="2"/>
        <v>95075462.510812297</v>
      </c>
      <c r="AL30" s="16">
        <f t="shared" si="3"/>
        <v>3001848.6608123183</v>
      </c>
    </row>
    <row r="31" spans="2:38" ht="15" x14ac:dyDescent="0.35">
      <c r="B31" s="5">
        <v>2011</v>
      </c>
      <c r="C31" s="6">
        <v>10541903.025</v>
      </c>
      <c r="D31" s="6">
        <v>38254776.295833394</v>
      </c>
      <c r="E31" s="6">
        <v>59941538.950000063</v>
      </c>
      <c r="F31" s="6">
        <v>66223453.666666724</v>
      </c>
      <c r="G31" s="6">
        <v>70226754.704166725</v>
      </c>
      <c r="H31" s="6">
        <v>73878794.695833385</v>
      </c>
      <c r="I31" s="6">
        <v>77139407.583333388</v>
      </c>
      <c r="J31" s="6">
        <v>79420852.333333403</v>
      </c>
      <c r="K31" s="6">
        <v>80204648.487500072</v>
      </c>
      <c r="L31" s="6">
        <v>80554305.404166728</v>
      </c>
      <c r="M31" s="6">
        <v>80861186.754166737</v>
      </c>
      <c r="N31" s="6">
        <v>81282072.041666731</v>
      </c>
      <c r="O31" s="6">
        <v>82008445.775000066</v>
      </c>
      <c r="P31" s="7">
        <v>82475428.545833409</v>
      </c>
      <c r="Q31" s="14">
        <f t="shared" ref="Q31:AH31" si="16">P31*P6</f>
        <v>82571115.178228214</v>
      </c>
      <c r="R31" s="14">
        <f t="shared" si="16"/>
        <v>82758104.74185811</v>
      </c>
      <c r="S31" s="14">
        <f t="shared" si="16"/>
        <v>82881821.523242742</v>
      </c>
      <c r="T31" s="14">
        <f t="shared" si="16"/>
        <v>82955731.296599597</v>
      </c>
      <c r="U31" s="14">
        <f t="shared" si="16"/>
        <v>83016002.308180735</v>
      </c>
      <c r="V31" s="14">
        <f t="shared" si="16"/>
        <v>83030731.98988837</v>
      </c>
      <c r="W31" s="14">
        <f t="shared" si="16"/>
        <v>83146711.916609824</v>
      </c>
      <c r="X31" s="14">
        <f t="shared" si="16"/>
        <v>83186588.291712835</v>
      </c>
      <c r="Y31" s="14">
        <f t="shared" si="16"/>
        <v>83258359.275618613</v>
      </c>
      <c r="Z31" s="14">
        <f t="shared" si="16"/>
        <v>83298086.470057607</v>
      </c>
      <c r="AA31" s="14">
        <f t="shared" si="16"/>
        <v>83380259.125015959</v>
      </c>
      <c r="AB31" s="14">
        <f t="shared" si="16"/>
        <v>83512029.967048377</v>
      </c>
      <c r="AC31" s="14">
        <f t="shared" si="16"/>
        <v>83694958.861591145</v>
      </c>
      <c r="AD31" s="14">
        <f t="shared" si="16"/>
        <v>83988774.49122113</v>
      </c>
      <c r="AE31" s="14">
        <f t="shared" si="16"/>
        <v>84176194.251149818</v>
      </c>
      <c r="AF31" s="14">
        <f t="shared" si="16"/>
        <v>85123090.797025308</v>
      </c>
      <c r="AG31" s="14">
        <f t="shared" si="16"/>
        <v>85186619.684881985</v>
      </c>
      <c r="AH31" s="14">
        <f t="shared" si="16"/>
        <v>85263156.699736759</v>
      </c>
      <c r="AI31" s="14">
        <f t="shared" si="1"/>
        <v>85263156.699736759</v>
      </c>
      <c r="AJ31" s="16">
        <f>P31</f>
        <v>82475428.545833409</v>
      </c>
      <c r="AK31" s="16">
        <f t="shared" si="2"/>
        <v>85263156.699736759</v>
      </c>
      <c r="AL31" s="16">
        <f t="shared" si="3"/>
        <v>2787728.1539033502</v>
      </c>
    </row>
    <row r="32" spans="2:38" ht="15" x14ac:dyDescent="0.35">
      <c r="B32" s="5">
        <v>2012</v>
      </c>
      <c r="C32" s="6">
        <v>9955042.0458333362</v>
      </c>
      <c r="D32" s="6">
        <v>34277823.533333346</v>
      </c>
      <c r="E32" s="6">
        <v>46656444.383333355</v>
      </c>
      <c r="F32" s="6">
        <v>76363693.618100017</v>
      </c>
      <c r="G32" s="6">
        <v>86796043.555600032</v>
      </c>
      <c r="H32" s="6">
        <v>91707825.722266689</v>
      </c>
      <c r="I32" s="6">
        <v>93491675.613933355</v>
      </c>
      <c r="J32" s="6">
        <v>94455330.138933346</v>
      </c>
      <c r="K32" s="6">
        <v>95281567.180600002</v>
      </c>
      <c r="L32" s="6">
        <v>95331792.743100017</v>
      </c>
      <c r="M32" s="6">
        <v>95615019.972266689</v>
      </c>
      <c r="N32" s="6">
        <v>97790025.343100011</v>
      </c>
      <c r="O32" s="7">
        <v>98147822.759766683</v>
      </c>
      <c r="P32" s="14">
        <f t="shared" ref="P32:AH32" si="17">O32*O6</f>
        <v>98549803.232961938</v>
      </c>
      <c r="Q32" s="14">
        <f t="shared" si="17"/>
        <v>98664139.089844346</v>
      </c>
      <c r="R32" s="14">
        <f t="shared" si="17"/>
        <v>98887572.723682359</v>
      </c>
      <c r="S32" s="14">
        <f t="shared" si="17"/>
        <v>99035401.776250362</v>
      </c>
      <c r="T32" s="14">
        <f t="shared" si="17"/>
        <v>99123716.48706466</v>
      </c>
      <c r="U32" s="14">
        <f t="shared" si="17"/>
        <v>99195734.255710408</v>
      </c>
      <c r="V32" s="14">
        <f t="shared" si="17"/>
        <v>99213334.736963615</v>
      </c>
      <c r="W32" s="14">
        <f t="shared" si="17"/>
        <v>99351919.029993638</v>
      </c>
      <c r="X32" s="14">
        <f t="shared" si="17"/>
        <v>99399567.26886107</v>
      </c>
      <c r="Y32" s="14">
        <f t="shared" si="17"/>
        <v>99485326.342399195</v>
      </c>
      <c r="Z32" s="14">
        <f t="shared" si="17"/>
        <v>99532796.325447366</v>
      </c>
      <c r="AA32" s="14">
        <f t="shared" si="17"/>
        <v>99630984.344837591</v>
      </c>
      <c r="AB32" s="14">
        <f t="shared" si="17"/>
        <v>99788437.186042532</v>
      </c>
      <c r="AC32" s="14">
        <f t="shared" si="17"/>
        <v>100007018.73063911</v>
      </c>
      <c r="AD32" s="14">
        <f t="shared" si="17"/>
        <v>100358098.7189136</v>
      </c>
      <c r="AE32" s="14">
        <f t="shared" si="17"/>
        <v>100582046.39385872</v>
      </c>
      <c r="AF32" s="14">
        <f t="shared" si="17"/>
        <v>101713492.08530053</v>
      </c>
      <c r="AG32" s="14">
        <f t="shared" si="17"/>
        <v>101789402.68689753</v>
      </c>
      <c r="AH32" s="14">
        <f t="shared" si="17"/>
        <v>101880856.68582746</v>
      </c>
      <c r="AI32" s="14">
        <f t="shared" si="1"/>
        <v>101880856.68582746</v>
      </c>
      <c r="AJ32" s="16">
        <f>O32</f>
        <v>98147822.759766683</v>
      </c>
      <c r="AK32" s="16">
        <f t="shared" si="2"/>
        <v>101880856.68582746</v>
      </c>
      <c r="AL32" s="16">
        <f t="shared" si="3"/>
        <v>3733033.9260607809</v>
      </c>
    </row>
    <row r="33" spans="2:38" ht="15" x14ac:dyDescent="0.35">
      <c r="B33" s="5">
        <v>2013</v>
      </c>
      <c r="C33" s="6">
        <v>8945263.9208333362</v>
      </c>
      <c r="D33" s="6">
        <v>26142373.32500001</v>
      </c>
      <c r="E33" s="6">
        <v>53428333.495833345</v>
      </c>
      <c r="F33" s="6">
        <v>66180624.741666652</v>
      </c>
      <c r="G33" s="6">
        <v>73670148.120833322</v>
      </c>
      <c r="H33" s="6">
        <v>78085975.774999991</v>
      </c>
      <c r="I33" s="6">
        <v>81061194.012499988</v>
      </c>
      <c r="J33" s="6">
        <v>81845705.204166636</v>
      </c>
      <c r="K33" s="6">
        <v>83202099.629166648</v>
      </c>
      <c r="L33" s="6">
        <v>84874357.299999982</v>
      </c>
      <c r="M33" s="6">
        <v>85772635.533333316</v>
      </c>
      <c r="N33" s="7">
        <v>86976453.68749997</v>
      </c>
      <c r="O33" s="14">
        <f t="shared" ref="O33:AH33" si="18">N33*N6</f>
        <v>87483010.412453234</v>
      </c>
      <c r="P33" s="14">
        <f t="shared" si="18"/>
        <v>87841311.401036754</v>
      </c>
      <c r="Q33" s="14">
        <f t="shared" si="18"/>
        <v>87943223.442250788</v>
      </c>
      <c r="R33" s="14">
        <f t="shared" si="18"/>
        <v>88142378.618248805</v>
      </c>
      <c r="S33" s="14">
        <f t="shared" si="18"/>
        <v>88274144.460642725</v>
      </c>
      <c r="T33" s="14">
        <f t="shared" si="18"/>
        <v>88352862.832059383</v>
      </c>
      <c r="U33" s="14">
        <f t="shared" si="18"/>
        <v>88417055.098654419</v>
      </c>
      <c r="V33" s="14">
        <f t="shared" si="18"/>
        <v>88432743.099075049</v>
      </c>
      <c r="W33" s="14">
        <f t="shared" si="18"/>
        <v>88556268.724088892</v>
      </c>
      <c r="X33" s="14">
        <f t="shared" si="18"/>
        <v>88598739.471373603</v>
      </c>
      <c r="Y33" s="14">
        <f t="shared" si="18"/>
        <v>88675179.902881294</v>
      </c>
      <c r="Z33" s="14">
        <f t="shared" si="18"/>
        <v>88717491.76375106</v>
      </c>
      <c r="AA33" s="14">
        <f t="shared" si="18"/>
        <v>88805010.602999464</v>
      </c>
      <c r="AB33" s="14">
        <f t="shared" si="18"/>
        <v>88945354.506300479</v>
      </c>
      <c r="AC33" s="14">
        <f t="shared" si="18"/>
        <v>89140184.824530944</v>
      </c>
      <c r="AD33" s="14">
        <f t="shared" si="18"/>
        <v>89453116.211149648</v>
      </c>
      <c r="AE33" s="14">
        <f t="shared" si="18"/>
        <v>89652729.572181836</v>
      </c>
      <c r="AF33" s="14">
        <f t="shared" si="18"/>
        <v>90661231.568683654</v>
      </c>
      <c r="AG33" s="14">
        <f t="shared" si="18"/>
        <v>90728893.670227975</v>
      </c>
      <c r="AH33" s="14">
        <f t="shared" si="18"/>
        <v>90810410.212477013</v>
      </c>
      <c r="AI33" s="14">
        <f t="shared" si="1"/>
        <v>90810410.212477013</v>
      </c>
      <c r="AJ33" s="16">
        <f>N33</f>
        <v>86976453.68749997</v>
      </c>
      <c r="AK33" s="16">
        <f t="shared" si="2"/>
        <v>90810410.212477013</v>
      </c>
      <c r="AL33" s="16">
        <f t="shared" si="3"/>
        <v>3833956.5249770433</v>
      </c>
    </row>
    <row r="34" spans="2:38" ht="15" x14ac:dyDescent="0.35">
      <c r="B34" s="5">
        <v>2014</v>
      </c>
      <c r="C34" s="6">
        <v>9053483.0916666687</v>
      </c>
      <c r="D34" s="6">
        <v>33847889.766666666</v>
      </c>
      <c r="E34" s="6">
        <v>58064487.225000001</v>
      </c>
      <c r="F34" s="6">
        <v>72567235.137500003</v>
      </c>
      <c r="G34" s="6">
        <v>79713176.933333337</v>
      </c>
      <c r="H34" s="6">
        <v>83995819.812500015</v>
      </c>
      <c r="I34" s="6">
        <v>85389624.487500012</v>
      </c>
      <c r="J34" s="6">
        <v>86055760.020833328</v>
      </c>
      <c r="K34" s="6">
        <v>87136282.287499994</v>
      </c>
      <c r="L34" s="6">
        <v>88814380.737499997</v>
      </c>
      <c r="M34" s="7">
        <v>89663189.479166657</v>
      </c>
      <c r="N34" s="14">
        <f t="shared" ref="N34:AH34" si="19">M34*M6</f>
        <v>90340876.482154876</v>
      </c>
      <c r="O34" s="14">
        <f t="shared" si="19"/>
        <v>90867027.832089543</v>
      </c>
      <c r="P34" s="14">
        <f t="shared" si="19"/>
        <v>91239188.617919669</v>
      </c>
      <c r="Q34" s="14">
        <f t="shared" si="19"/>
        <v>91345042.820258617</v>
      </c>
      <c r="R34" s="14">
        <f t="shared" si="19"/>
        <v>91551901.715888709</v>
      </c>
      <c r="S34" s="14">
        <f t="shared" si="19"/>
        <v>91688764.524011984</v>
      </c>
      <c r="T34" s="14">
        <f t="shared" si="19"/>
        <v>91770527.879121631</v>
      </c>
      <c r="U34" s="14">
        <f t="shared" si="19"/>
        <v>91837203.230687559</v>
      </c>
      <c r="V34" s="14">
        <f t="shared" si="19"/>
        <v>91853498.074270681</v>
      </c>
      <c r="W34" s="14">
        <f t="shared" si="19"/>
        <v>91981801.916961849</v>
      </c>
      <c r="X34" s="14">
        <f t="shared" si="19"/>
        <v>92025915.517504111</v>
      </c>
      <c r="Y34" s="14">
        <f t="shared" si="19"/>
        <v>92105312.817443371</v>
      </c>
      <c r="Z34" s="14">
        <f t="shared" si="19"/>
        <v>92149261.385527089</v>
      </c>
      <c r="AA34" s="14">
        <f t="shared" si="19"/>
        <v>92240165.62812601</v>
      </c>
      <c r="AB34" s="14">
        <f t="shared" si="19"/>
        <v>92385938.313670248</v>
      </c>
      <c r="AC34" s="14">
        <f t="shared" si="19"/>
        <v>92588305.057403877</v>
      </c>
      <c r="AD34" s="14">
        <f t="shared" si="19"/>
        <v>92913341.254527792</v>
      </c>
      <c r="AE34" s="14">
        <f t="shared" si="19"/>
        <v>93120676.058703512</v>
      </c>
      <c r="AF34" s="14">
        <f t="shared" si="19"/>
        <v>94168188.924948037</v>
      </c>
      <c r="AG34" s="14">
        <f t="shared" si="19"/>
        <v>94238468.331603318</v>
      </c>
      <c r="AH34" s="14">
        <f t="shared" si="19"/>
        <v>94323138.09637703</v>
      </c>
      <c r="AI34" s="14">
        <f>AH34</f>
        <v>94323138.09637703</v>
      </c>
      <c r="AJ34" s="16">
        <f>M34</f>
        <v>89663189.479166657</v>
      </c>
      <c r="AK34" s="16">
        <f>AI34</f>
        <v>94323138.09637703</v>
      </c>
      <c r="AL34" s="16">
        <f t="shared" si="3"/>
        <v>4659948.6172103733</v>
      </c>
    </row>
    <row r="35" spans="2:38" ht="15" x14ac:dyDescent="0.35">
      <c r="B35" s="5">
        <v>2015</v>
      </c>
      <c r="C35" s="6">
        <v>11511440.029166674</v>
      </c>
      <c r="D35" s="6">
        <v>36584205.529166684</v>
      </c>
      <c r="E35" s="6">
        <v>56963409.50000003</v>
      </c>
      <c r="F35" s="6">
        <v>69269661.654166698</v>
      </c>
      <c r="G35" s="6">
        <v>75656728.416666687</v>
      </c>
      <c r="H35" s="6">
        <v>79250545.487500012</v>
      </c>
      <c r="I35" s="6">
        <v>84022407.379166692</v>
      </c>
      <c r="J35" s="6">
        <v>86938147.404166684</v>
      </c>
      <c r="K35" s="6">
        <v>88814147.950000018</v>
      </c>
      <c r="L35" s="7">
        <v>89493517.462500021</v>
      </c>
      <c r="M35" s="14">
        <f t="shared" ref="M35:AH35" si="20">L35*L6</f>
        <v>90281043.98778668</v>
      </c>
      <c r="N35" s="14">
        <f t="shared" si="20"/>
        <v>90963400.822092101</v>
      </c>
      <c r="O35" s="14">
        <f t="shared" si="20"/>
        <v>91493177.795715392</v>
      </c>
      <c r="P35" s="14">
        <f t="shared" si="20"/>
        <v>91867903.081211343</v>
      </c>
      <c r="Q35" s="14">
        <f t="shared" si="20"/>
        <v>91974486.707704753</v>
      </c>
      <c r="R35" s="14">
        <f t="shared" si="20"/>
        <v>92182771.03446278</v>
      </c>
      <c r="S35" s="14">
        <f t="shared" si="20"/>
        <v>92320576.942017972</v>
      </c>
      <c r="T35" s="14">
        <f t="shared" si="20"/>
        <v>92402903.715157777</v>
      </c>
      <c r="U35" s="14">
        <f t="shared" si="20"/>
        <v>92470038.515766487</v>
      </c>
      <c r="V35" s="14">
        <f t="shared" si="20"/>
        <v>92486445.644476131</v>
      </c>
      <c r="W35" s="14">
        <f t="shared" si="20"/>
        <v>92615633.608155414</v>
      </c>
      <c r="X35" s="14">
        <f t="shared" si="20"/>
        <v>92660051.188370332</v>
      </c>
      <c r="Y35" s="14">
        <f t="shared" si="20"/>
        <v>92739995.602237001</v>
      </c>
      <c r="Z35" s="14">
        <f t="shared" si="20"/>
        <v>92784247.012781441</v>
      </c>
      <c r="AA35" s="14">
        <f t="shared" si="20"/>
        <v>92875777.661784902</v>
      </c>
      <c r="AB35" s="14">
        <f t="shared" si="20"/>
        <v>93022554.843282491</v>
      </c>
      <c r="AC35" s="14">
        <f t="shared" si="20"/>
        <v>93226316.063453287</v>
      </c>
      <c r="AD35" s="14">
        <f t="shared" si="20"/>
        <v>93553592.032338887</v>
      </c>
      <c r="AE35" s="14">
        <f t="shared" si="20"/>
        <v>93762355.547051206</v>
      </c>
      <c r="AF35" s="14">
        <f t="shared" si="20"/>
        <v>94817086.654705673</v>
      </c>
      <c r="AG35" s="14">
        <f t="shared" si="20"/>
        <v>94887850.345363319</v>
      </c>
      <c r="AH35" s="14">
        <f t="shared" si="20"/>
        <v>94973103.555765197</v>
      </c>
      <c r="AI35" s="14">
        <f t="shared" si="1"/>
        <v>94973103.555765197</v>
      </c>
      <c r="AJ35" s="16">
        <f>L35</f>
        <v>89493517.462500021</v>
      </c>
      <c r="AK35" s="16">
        <f t="shared" si="2"/>
        <v>94973103.555765197</v>
      </c>
      <c r="AL35" s="16">
        <f t="shared" si="3"/>
        <v>5479586.0932651758</v>
      </c>
    </row>
    <row r="36" spans="2:38" ht="15" x14ac:dyDescent="0.35">
      <c r="B36" s="5">
        <v>2016</v>
      </c>
      <c r="C36" s="6">
        <v>13027666.350000011</v>
      </c>
      <c r="D36" s="6">
        <v>42337468.845833346</v>
      </c>
      <c r="E36" s="6">
        <v>61715751.308333345</v>
      </c>
      <c r="F36" s="6">
        <v>72327364.708333328</v>
      </c>
      <c r="G36" s="6">
        <v>76879238.949999988</v>
      </c>
      <c r="H36" s="6">
        <v>80787273.449999973</v>
      </c>
      <c r="I36" s="6">
        <v>87726213.762499973</v>
      </c>
      <c r="J36" s="6">
        <v>90575724.837499991</v>
      </c>
      <c r="K36" s="7">
        <v>92303198.470833316</v>
      </c>
      <c r="L36" s="14">
        <f t="shared" ref="L36:AH36" si="21">K36*K6</f>
        <v>93455420.075595766</v>
      </c>
      <c r="M36" s="14">
        <f t="shared" si="21"/>
        <v>94277810.616588622</v>
      </c>
      <c r="N36" s="14">
        <f t="shared" si="21"/>
        <v>94990375.575477272</v>
      </c>
      <c r="O36" s="14">
        <f t="shared" si="21"/>
        <v>95543605.92131868</v>
      </c>
      <c r="P36" s="14">
        <f t="shared" si="21"/>
        <v>95934920.39818731</v>
      </c>
      <c r="Q36" s="14">
        <f t="shared" si="21"/>
        <v>96046222.511117399</v>
      </c>
      <c r="R36" s="14">
        <f t="shared" si="21"/>
        <v>96263727.642262682</v>
      </c>
      <c r="S36" s="14">
        <f t="shared" si="21"/>
        <v>96407634.25521782</v>
      </c>
      <c r="T36" s="14">
        <f t="shared" si="21"/>
        <v>96493605.65722996</v>
      </c>
      <c r="U36" s="14">
        <f t="shared" si="21"/>
        <v>96563712.533911914</v>
      </c>
      <c r="V36" s="14">
        <f t="shared" si="21"/>
        <v>96580846.010718614</v>
      </c>
      <c r="W36" s="14">
        <f t="shared" si="21"/>
        <v>96715753.16105403</v>
      </c>
      <c r="X36" s="14">
        <f t="shared" si="21"/>
        <v>96762137.119752109</v>
      </c>
      <c r="Y36" s="14">
        <f t="shared" si="21"/>
        <v>96845620.694791347</v>
      </c>
      <c r="Z36" s="14">
        <f t="shared" si="21"/>
        <v>96891831.127441972</v>
      </c>
      <c r="AA36" s="14">
        <f t="shared" si="21"/>
        <v>96987413.863431707</v>
      </c>
      <c r="AB36" s="14">
        <f t="shared" si="21"/>
        <v>97140688.911092207</v>
      </c>
      <c r="AC36" s="14">
        <f t="shared" si="21"/>
        <v>97353470.69647859</v>
      </c>
      <c r="AD36" s="14">
        <f t="shared" si="21"/>
        <v>97695235.262450278</v>
      </c>
      <c r="AE36" s="14">
        <f t="shared" si="21"/>
        <v>97913240.795332283</v>
      </c>
      <c r="AF36" s="14">
        <f t="shared" si="21"/>
        <v>99014665.138988793</v>
      </c>
      <c r="AG36" s="14">
        <f t="shared" si="21"/>
        <v>99088561.557679459</v>
      </c>
      <c r="AH36" s="14">
        <f t="shared" si="21"/>
        <v>99177588.951135531</v>
      </c>
      <c r="AI36" s="14">
        <f t="shared" si="1"/>
        <v>99177588.951135531</v>
      </c>
      <c r="AJ36" s="16">
        <f>K36</f>
        <v>92303198.470833316</v>
      </c>
      <c r="AK36" s="16">
        <f t="shared" si="2"/>
        <v>99177588.951135531</v>
      </c>
      <c r="AL36" s="16">
        <f t="shared" si="3"/>
        <v>6874390.4803022146</v>
      </c>
    </row>
    <row r="37" spans="2:38" ht="15" x14ac:dyDescent="0.35">
      <c r="B37" s="5">
        <v>2017</v>
      </c>
      <c r="C37" s="6">
        <v>16518055.287500009</v>
      </c>
      <c r="D37" s="6">
        <v>46698463.145833343</v>
      </c>
      <c r="E37" s="6">
        <v>63996394.354166701</v>
      </c>
      <c r="F37" s="6">
        <v>72192139.42916669</v>
      </c>
      <c r="G37" s="6">
        <v>78436369.87500003</v>
      </c>
      <c r="H37" s="6">
        <v>84751998.666666687</v>
      </c>
      <c r="I37" s="6">
        <v>87381817.162500024</v>
      </c>
      <c r="J37" s="7">
        <v>90248684.308333367</v>
      </c>
      <c r="K37" s="14">
        <f t="shared" ref="K37:AH37" si="22">J37*J6</f>
        <v>91660354.728805885</v>
      </c>
      <c r="L37" s="14">
        <f t="shared" si="22"/>
        <v>92804551.709716484</v>
      </c>
      <c r="M37" s="14">
        <f t="shared" si="22"/>
        <v>93621214.72856994</v>
      </c>
      <c r="N37" s="14">
        <f t="shared" si="22"/>
        <v>94328817.043344423</v>
      </c>
      <c r="O37" s="14">
        <f t="shared" si="22"/>
        <v>94878194.427732527</v>
      </c>
      <c r="P37" s="14">
        <f t="shared" si="22"/>
        <v>95266783.602912948</v>
      </c>
      <c r="Q37" s="14">
        <f t="shared" si="22"/>
        <v>95377310.554548994</v>
      </c>
      <c r="R37" s="14">
        <f t="shared" si="22"/>
        <v>95593300.875647262</v>
      </c>
      <c r="S37" s="14">
        <f t="shared" si="22"/>
        <v>95736205.253933311</v>
      </c>
      <c r="T37" s="14">
        <f t="shared" si="22"/>
        <v>95821577.909870639</v>
      </c>
      <c r="U37" s="14">
        <f t="shared" si="22"/>
        <v>95891196.528640687</v>
      </c>
      <c r="V37" s="14">
        <f t="shared" si="22"/>
        <v>95908210.679697827</v>
      </c>
      <c r="W37" s="14">
        <f t="shared" si="22"/>
        <v>96042178.271937907</v>
      </c>
      <c r="X37" s="14">
        <f t="shared" si="22"/>
        <v>96088239.190502226</v>
      </c>
      <c r="Y37" s="14">
        <f t="shared" si="22"/>
        <v>96171141.345886841</v>
      </c>
      <c r="Z37" s="14">
        <f t="shared" si="22"/>
        <v>96217029.946922332</v>
      </c>
      <c r="AA37" s="14">
        <f t="shared" si="22"/>
        <v>96311946.998897925</v>
      </c>
      <c r="AB37" s="14">
        <f t="shared" si="22"/>
        <v>96464154.565617025</v>
      </c>
      <c r="AC37" s="14">
        <f t="shared" si="22"/>
        <v>96675454.436601534</v>
      </c>
      <c r="AD37" s="14">
        <f t="shared" si="22"/>
        <v>97014838.790228248</v>
      </c>
      <c r="AE37" s="14">
        <f t="shared" si="22"/>
        <v>97231326.028025553</v>
      </c>
      <c r="AF37" s="14">
        <f t="shared" si="22"/>
        <v>98325079.524318531</v>
      </c>
      <c r="AG37" s="14">
        <f t="shared" si="22"/>
        <v>98398461.292909309</v>
      </c>
      <c r="AH37" s="14">
        <f t="shared" si="22"/>
        <v>98486868.656900525</v>
      </c>
      <c r="AI37" s="14">
        <f t="shared" si="1"/>
        <v>98486868.656900525</v>
      </c>
      <c r="AJ37" s="16">
        <f>J37</f>
        <v>90248684.308333367</v>
      </c>
      <c r="AK37" s="16">
        <f t="shared" si="2"/>
        <v>98486868.656900525</v>
      </c>
      <c r="AL37" s="16">
        <f t="shared" si="3"/>
        <v>8238184.348567158</v>
      </c>
    </row>
    <row r="38" spans="2:38" ht="15" x14ac:dyDescent="0.35">
      <c r="B38" s="5">
        <v>2018</v>
      </c>
      <c r="C38" s="6">
        <v>16902139.808333337</v>
      </c>
      <c r="D38" s="6">
        <v>52601190.433333352</v>
      </c>
      <c r="E38" s="6">
        <v>68619601.058333352</v>
      </c>
      <c r="F38" s="6">
        <v>81872128.495833367</v>
      </c>
      <c r="G38" s="6">
        <v>90434704.383333385</v>
      </c>
      <c r="H38" s="6">
        <v>95228604.066666722</v>
      </c>
      <c r="I38" s="7">
        <v>98581640.466666728</v>
      </c>
      <c r="J38" s="14">
        <f t="shared" ref="J38:AH38" si="23">I38*I6</f>
        <v>100851506.92169145</v>
      </c>
      <c r="K38" s="14">
        <f t="shared" si="23"/>
        <v>102429026.75228564</v>
      </c>
      <c r="L38" s="14">
        <f t="shared" si="23"/>
        <v>103707649.15686101</v>
      </c>
      <c r="M38" s="14">
        <f t="shared" si="23"/>
        <v>104620257.43176062</v>
      </c>
      <c r="N38" s="14">
        <f t="shared" si="23"/>
        <v>105410992.05900986</v>
      </c>
      <c r="O38" s="14">
        <f t="shared" si="23"/>
        <v>106024912.7771773</v>
      </c>
      <c r="P38" s="14">
        <f t="shared" si="23"/>
        <v>106459155.16188079</v>
      </c>
      <c r="Q38" s="14">
        <f t="shared" si="23"/>
        <v>106582667.31846662</v>
      </c>
      <c r="R38" s="14">
        <f t="shared" si="23"/>
        <v>106824033.15698498</v>
      </c>
      <c r="S38" s="14">
        <f t="shared" si="23"/>
        <v>106983726.586383</v>
      </c>
      <c r="T38" s="14">
        <f t="shared" si="23"/>
        <v>107079129.20712116</v>
      </c>
      <c r="U38" s="14">
        <f t="shared" si="23"/>
        <v>107156926.93532713</v>
      </c>
      <c r="V38" s="14">
        <f t="shared" si="23"/>
        <v>107175939.9856143</v>
      </c>
      <c r="W38" s="14">
        <f t="shared" si="23"/>
        <v>107325646.69502099</v>
      </c>
      <c r="X38" s="14">
        <f t="shared" si="23"/>
        <v>107377119.05811428</v>
      </c>
      <c r="Y38" s="14">
        <f t="shared" si="23"/>
        <v>107469760.93274848</v>
      </c>
      <c r="Z38" s="14">
        <f t="shared" si="23"/>
        <v>107521040.73367219</v>
      </c>
      <c r="AA38" s="14">
        <f t="shared" si="23"/>
        <v>107627109.06915726</v>
      </c>
      <c r="AB38" s="14">
        <f t="shared" si="23"/>
        <v>107797198.66753922</v>
      </c>
      <c r="AC38" s="14">
        <f t="shared" si="23"/>
        <v>108033323.00070226</v>
      </c>
      <c r="AD38" s="14">
        <f t="shared" si="23"/>
        <v>108412579.75941534</v>
      </c>
      <c r="AE38" s="14">
        <f t="shared" si="23"/>
        <v>108654500.89464852</v>
      </c>
      <c r="AF38" s="14">
        <f t="shared" si="23"/>
        <v>109876753.48644425</v>
      </c>
      <c r="AG38" s="14">
        <f t="shared" si="23"/>
        <v>109958756.47629033</v>
      </c>
      <c r="AH38" s="14">
        <f t="shared" si="23"/>
        <v>110057550.33627644</v>
      </c>
      <c r="AI38" s="14">
        <f t="shared" si="1"/>
        <v>110057550.33627644</v>
      </c>
      <c r="AJ38" s="16">
        <f>I38</f>
        <v>98581640.466666728</v>
      </c>
      <c r="AK38" s="16">
        <f t="shared" si="2"/>
        <v>110057550.33627644</v>
      </c>
      <c r="AL38" s="16">
        <f t="shared" si="3"/>
        <v>11475909.869609714</v>
      </c>
    </row>
    <row r="39" spans="2:38" ht="15" x14ac:dyDescent="0.35">
      <c r="B39" s="5">
        <v>2019</v>
      </c>
      <c r="C39" s="6">
        <v>17923705.070833333</v>
      </c>
      <c r="D39" s="6">
        <v>46221759.975000031</v>
      </c>
      <c r="E39" s="6">
        <v>69053882.416666701</v>
      </c>
      <c r="F39" s="6">
        <v>85072134.537500039</v>
      </c>
      <c r="G39" s="6">
        <v>98606300.650000036</v>
      </c>
      <c r="H39" s="7">
        <v>104453212.94166671</v>
      </c>
      <c r="I39" s="14">
        <f t="shared" ref="I39:AH39" si="24">H39*H6</f>
        <v>108237314.03089602</v>
      </c>
      <c r="J39" s="14">
        <f t="shared" si="24"/>
        <v>110729504.7383917</v>
      </c>
      <c r="K39" s="14">
        <f t="shared" si="24"/>
        <v>112461536.26561835</v>
      </c>
      <c r="L39" s="14">
        <f t="shared" si="24"/>
        <v>113865394.57103738</v>
      </c>
      <c r="M39" s="14">
        <f t="shared" si="24"/>
        <v>114867389.14091781</v>
      </c>
      <c r="N39" s="14">
        <f t="shared" si="24"/>
        <v>115735573.03154416</v>
      </c>
      <c r="O39" s="14">
        <f t="shared" si="24"/>
        <v>116409624.80475269</v>
      </c>
      <c r="P39" s="14">
        <f t="shared" si="24"/>
        <v>116886399.4773609</v>
      </c>
      <c r="Q39" s="14">
        <f t="shared" si="24"/>
        <v>117022009.15088357</v>
      </c>
      <c r="R39" s="14">
        <f t="shared" si="24"/>
        <v>117287015.79853493</v>
      </c>
      <c r="S39" s="14">
        <f t="shared" si="24"/>
        <v>117462350.55442457</v>
      </c>
      <c r="T39" s="14">
        <f t="shared" si="24"/>
        <v>117567097.47658296</v>
      </c>
      <c r="U39" s="14">
        <f t="shared" si="24"/>
        <v>117652515.17808253</v>
      </c>
      <c r="V39" s="14">
        <f t="shared" si="24"/>
        <v>117673390.4798616</v>
      </c>
      <c r="W39" s="14">
        <f t="shared" si="24"/>
        <v>117837760.35686788</v>
      </c>
      <c r="X39" s="14">
        <f t="shared" si="24"/>
        <v>117894274.2300563</v>
      </c>
      <c r="Y39" s="14">
        <f t="shared" si="24"/>
        <v>117995990.00217904</v>
      </c>
      <c r="Z39" s="14">
        <f t="shared" si="24"/>
        <v>118052292.45251104</v>
      </c>
      <c r="AA39" s="14">
        <f t="shared" si="24"/>
        <v>118168749.75310257</v>
      </c>
      <c r="AB39" s="14">
        <f t="shared" si="24"/>
        <v>118355498.94074348</v>
      </c>
      <c r="AC39" s="14">
        <f t="shared" si="24"/>
        <v>118614750.69875763</v>
      </c>
      <c r="AD39" s="14">
        <f t="shared" si="24"/>
        <v>119031154.12536776</v>
      </c>
      <c r="AE39" s="14">
        <f t="shared" si="24"/>
        <v>119296770.45880461</v>
      </c>
      <c r="AF39" s="14">
        <f t="shared" si="24"/>
        <v>120638737.75593032</v>
      </c>
      <c r="AG39" s="14">
        <f t="shared" si="24"/>
        <v>120728772.60746481</v>
      </c>
      <c r="AH39" s="14">
        <f t="shared" si="24"/>
        <v>120837242.92706002</v>
      </c>
      <c r="AI39" s="14">
        <f t="shared" si="1"/>
        <v>120837242.92706002</v>
      </c>
      <c r="AJ39" s="16">
        <f>H39</f>
        <v>104453212.94166671</v>
      </c>
      <c r="AK39" s="16">
        <f t="shared" si="2"/>
        <v>120837242.92706002</v>
      </c>
      <c r="AL39" s="16">
        <f t="shared" si="3"/>
        <v>16384029.985393316</v>
      </c>
    </row>
    <row r="40" spans="2:38" ht="15" x14ac:dyDescent="0.35">
      <c r="B40" s="5">
        <v>2020</v>
      </c>
      <c r="C40" s="6">
        <v>12157089.591666671</v>
      </c>
      <c r="D40" s="6">
        <v>38029108.404166676</v>
      </c>
      <c r="E40" s="6">
        <v>55750073.479166679</v>
      </c>
      <c r="F40" s="6">
        <v>66589406.94583334</v>
      </c>
      <c r="G40" s="7">
        <v>74790715.6875</v>
      </c>
      <c r="H40" s="14">
        <f t="shared" ref="H40:AH40" si="25">G40*G6</f>
        <v>78989824.668493181</v>
      </c>
      <c r="I40" s="14">
        <f t="shared" si="25"/>
        <v>81851445.418570116</v>
      </c>
      <c r="J40" s="14">
        <f t="shared" si="25"/>
        <v>83736095.028491348</v>
      </c>
      <c r="K40" s="14">
        <f t="shared" si="25"/>
        <v>85045895.491329595</v>
      </c>
      <c r="L40" s="14">
        <f t="shared" si="25"/>
        <v>86107524.121809214</v>
      </c>
      <c r="M40" s="14">
        <f t="shared" si="25"/>
        <v>86865254.5272668</v>
      </c>
      <c r="N40" s="14">
        <f t="shared" si="25"/>
        <v>87521794.344178736</v>
      </c>
      <c r="O40" s="14">
        <f t="shared" si="25"/>
        <v>88031527.16985029</v>
      </c>
      <c r="P40" s="14">
        <f t="shared" si="25"/>
        <v>88392074.698596328</v>
      </c>
      <c r="Q40" s="14">
        <f t="shared" si="25"/>
        <v>88494625.726307541</v>
      </c>
      <c r="R40" s="14">
        <f t="shared" si="25"/>
        <v>88695029.601348281</v>
      </c>
      <c r="S40" s="14">
        <f t="shared" si="25"/>
        <v>88827621.61298655</v>
      </c>
      <c r="T40" s="14">
        <f t="shared" si="25"/>
        <v>88906833.547046214</v>
      </c>
      <c r="U40" s="14">
        <f t="shared" si="25"/>
        <v>88971428.297892272</v>
      </c>
      <c r="V40" s="14">
        <f t="shared" si="25"/>
        <v>88987214.661767468</v>
      </c>
      <c r="W40" s="14">
        <f t="shared" si="25"/>
        <v>89111514.790024489</v>
      </c>
      <c r="X40" s="14">
        <f t="shared" si="25"/>
        <v>89154251.828060687</v>
      </c>
      <c r="Y40" s="14">
        <f t="shared" si="25"/>
        <v>89231171.539572895</v>
      </c>
      <c r="Z40" s="14">
        <f t="shared" si="25"/>
        <v>89273748.694979444</v>
      </c>
      <c r="AA40" s="14">
        <f t="shared" si="25"/>
        <v>89361816.275631338</v>
      </c>
      <c r="AB40" s="14">
        <f t="shared" si="25"/>
        <v>89503040.132450148</v>
      </c>
      <c r="AC40" s="14">
        <f t="shared" si="25"/>
        <v>89699092.032950073</v>
      </c>
      <c r="AD40" s="14">
        <f t="shared" si="25"/>
        <v>90013985.4932179</v>
      </c>
      <c r="AE40" s="14">
        <f t="shared" si="25"/>
        <v>90214850.426103994</v>
      </c>
      <c r="AF40" s="14">
        <f t="shared" si="25"/>
        <v>91229675.710320085</v>
      </c>
      <c r="AG40" s="14">
        <f t="shared" si="25"/>
        <v>91297762.051912412</v>
      </c>
      <c r="AH40" s="14">
        <f t="shared" si="25"/>
        <v>91379789.701280624</v>
      </c>
      <c r="AI40" s="14">
        <f t="shared" si="1"/>
        <v>91379789.701280624</v>
      </c>
      <c r="AJ40" s="16">
        <f>G40</f>
        <v>74790715.6875</v>
      </c>
      <c r="AK40" s="16">
        <f t="shared" si="2"/>
        <v>91379789.701280624</v>
      </c>
      <c r="AL40" s="16">
        <f t="shared" si="3"/>
        <v>16589074.013780624</v>
      </c>
    </row>
    <row r="41" spans="2:38" ht="15" x14ac:dyDescent="0.35">
      <c r="B41" s="5">
        <v>2021</v>
      </c>
      <c r="C41" s="6">
        <v>15171797.887499994</v>
      </c>
      <c r="D41" s="6">
        <v>49475416.929166652</v>
      </c>
      <c r="E41" s="6">
        <v>67577878.774999976</v>
      </c>
      <c r="F41" s="7">
        <v>79065031.674999982</v>
      </c>
      <c r="G41" s="14">
        <f t="shared" ref="G41:AH41" si="26">F41*F6</f>
        <v>87281946.12825349</v>
      </c>
      <c r="H41" s="14">
        <f t="shared" si="26"/>
        <v>92182372.611630052</v>
      </c>
      <c r="I41" s="14">
        <f t="shared" si="26"/>
        <v>95521929.211025611</v>
      </c>
      <c r="J41" s="14">
        <f t="shared" si="26"/>
        <v>97721345.063804671</v>
      </c>
      <c r="K41" s="14">
        <f t="shared" si="26"/>
        <v>99249902.885257855</v>
      </c>
      <c r="L41" s="14">
        <f t="shared" si="26"/>
        <v>100488840.25979644</v>
      </c>
      <c r="M41" s="14">
        <f t="shared" si="26"/>
        <v>101373123.60728073</v>
      </c>
      <c r="N41" s="14">
        <f t="shared" si="26"/>
        <v>102139315.94016597</v>
      </c>
      <c r="O41" s="14">
        <f t="shared" si="26"/>
        <v>102734182.19623928</v>
      </c>
      <c r="P41" s="14">
        <f t="shared" si="26"/>
        <v>103154946.85521346</v>
      </c>
      <c r="Q41" s="14">
        <f t="shared" si="26"/>
        <v>103274625.52379964</v>
      </c>
      <c r="R41" s="14">
        <f t="shared" si="26"/>
        <v>103508500.01028384</v>
      </c>
      <c r="S41" s="14">
        <f t="shared" si="26"/>
        <v>103663236.9814502</v>
      </c>
      <c r="T41" s="14">
        <f t="shared" si="26"/>
        <v>103755678.55922836</v>
      </c>
      <c r="U41" s="14">
        <f t="shared" si="26"/>
        <v>103831061.6533957</v>
      </c>
      <c r="V41" s="14">
        <f t="shared" si="26"/>
        <v>103849484.58929957</v>
      </c>
      <c r="W41" s="14">
        <f t="shared" si="26"/>
        <v>103994544.80163389</v>
      </c>
      <c r="X41" s="14">
        <f t="shared" si="26"/>
        <v>104044419.59982599</v>
      </c>
      <c r="Y41" s="14">
        <f t="shared" si="26"/>
        <v>104134186.11769782</v>
      </c>
      <c r="Z41" s="14">
        <f t="shared" si="26"/>
        <v>104183874.33033663</v>
      </c>
      <c r="AA41" s="14">
        <f t="shared" si="26"/>
        <v>104286650.5875157</v>
      </c>
      <c r="AB41" s="14">
        <f t="shared" si="26"/>
        <v>104451461.05830176</v>
      </c>
      <c r="AC41" s="14">
        <f t="shared" si="26"/>
        <v>104680256.72178057</v>
      </c>
      <c r="AD41" s="14">
        <f t="shared" si="26"/>
        <v>105047742.36197788</v>
      </c>
      <c r="AE41" s="14">
        <f t="shared" si="26"/>
        <v>105282154.91024753</v>
      </c>
      <c r="AF41" s="14">
        <f t="shared" si="26"/>
        <v>106466472.04068707</v>
      </c>
      <c r="AG41" s="14">
        <f t="shared" si="26"/>
        <v>106545929.87638639</v>
      </c>
      <c r="AH41" s="14">
        <f t="shared" si="26"/>
        <v>106641657.43838885</v>
      </c>
      <c r="AI41" s="14">
        <f t="shared" si="1"/>
        <v>106641657.43838885</v>
      </c>
      <c r="AJ41" s="16">
        <f>F41</f>
        <v>79065031.674999982</v>
      </c>
      <c r="AK41" s="16">
        <f t="shared" si="2"/>
        <v>106641657.43838885</v>
      </c>
      <c r="AL41" s="16">
        <f t="shared" si="3"/>
        <v>27576625.763388872</v>
      </c>
    </row>
    <row r="42" spans="2:38" ht="15" x14ac:dyDescent="0.35">
      <c r="B42" s="5">
        <v>2022</v>
      </c>
      <c r="C42" s="6">
        <v>20467424.095833328</v>
      </c>
      <c r="D42" s="6">
        <v>62901936.504166648</v>
      </c>
      <c r="E42" s="7">
        <v>88838509.570833325</v>
      </c>
      <c r="F42" s="14">
        <f t="shared" ref="F42:AH42" si="27">E42*E6</f>
        <v>110225522.62751745</v>
      </c>
      <c r="G42" s="14">
        <f t="shared" si="27"/>
        <v>121680823.040454</v>
      </c>
      <c r="H42" s="14">
        <f t="shared" si="27"/>
        <v>128512567.22349849</v>
      </c>
      <c r="I42" s="14">
        <f t="shared" si="27"/>
        <v>133168283.71047415</v>
      </c>
      <c r="J42" s="14">
        <f t="shared" si="27"/>
        <v>136234516.11071327</v>
      </c>
      <c r="K42" s="14">
        <f t="shared" si="27"/>
        <v>138365497.16727725</v>
      </c>
      <c r="L42" s="14">
        <f t="shared" si="27"/>
        <v>140092714.83503997</v>
      </c>
      <c r="M42" s="14">
        <f t="shared" si="27"/>
        <v>141325505.00867733</v>
      </c>
      <c r="N42" s="14">
        <f t="shared" si="27"/>
        <v>142393663.06207094</v>
      </c>
      <c r="O42" s="14">
        <f t="shared" si="27"/>
        <v>143222973.34728882</v>
      </c>
      <c r="P42" s="14">
        <f t="shared" si="27"/>
        <v>143809566.47772935</v>
      </c>
      <c r="Q42" s="14">
        <f t="shared" si="27"/>
        <v>143976411.96571323</v>
      </c>
      <c r="R42" s="14">
        <f t="shared" si="27"/>
        <v>144302459.23282781</v>
      </c>
      <c r="S42" s="14">
        <f t="shared" si="27"/>
        <v>144518179.92698652</v>
      </c>
      <c r="T42" s="14">
        <f t="shared" si="27"/>
        <v>144647053.85528636</v>
      </c>
      <c r="U42" s="14">
        <f t="shared" si="27"/>
        <v>144752146.344037</v>
      </c>
      <c r="V42" s="14">
        <f t="shared" si="27"/>
        <v>144777829.98312899</v>
      </c>
      <c r="W42" s="14">
        <f t="shared" si="27"/>
        <v>144980060.19006464</v>
      </c>
      <c r="X42" s="14">
        <f t="shared" si="27"/>
        <v>145049591.25304154</v>
      </c>
      <c r="Y42" s="14">
        <f t="shared" si="27"/>
        <v>145174735.84777904</v>
      </c>
      <c r="Z42" s="14">
        <f t="shared" si="27"/>
        <v>145244006.78956595</v>
      </c>
      <c r="AA42" s="14">
        <f t="shared" si="27"/>
        <v>145387288.42015871</v>
      </c>
      <c r="AB42" s="14">
        <f t="shared" si="27"/>
        <v>145617052.70269963</v>
      </c>
      <c r="AC42" s="14">
        <f t="shared" si="27"/>
        <v>145936019.52086931</v>
      </c>
      <c r="AD42" s="14">
        <f t="shared" si="27"/>
        <v>146448335.72299719</v>
      </c>
      <c r="AE42" s="14">
        <f t="shared" si="27"/>
        <v>146775133.1085934</v>
      </c>
      <c r="AF42" s="14">
        <f t="shared" si="27"/>
        <v>148426204.02950338</v>
      </c>
      <c r="AG42" s="14">
        <f t="shared" si="27"/>
        <v>148536977.16500038</v>
      </c>
      <c r="AH42" s="14">
        <f t="shared" si="27"/>
        <v>148670432.1238873</v>
      </c>
      <c r="AI42" s="14">
        <f t="shared" si="1"/>
        <v>148670432.1238873</v>
      </c>
      <c r="AJ42" s="16">
        <f>E42</f>
        <v>88838509.570833325</v>
      </c>
      <c r="AK42" s="16">
        <f t="shared" si="2"/>
        <v>148670432.1238873</v>
      </c>
      <c r="AL42" s="16">
        <f t="shared" si="3"/>
        <v>59831922.553053975</v>
      </c>
    </row>
    <row r="43" spans="2:38" ht="15" x14ac:dyDescent="0.35">
      <c r="B43" s="5">
        <v>2023</v>
      </c>
      <c r="C43" s="6">
        <v>22938942.387499999</v>
      </c>
      <c r="D43" s="7">
        <v>64614532.979166701</v>
      </c>
      <c r="E43" s="14">
        <f>D43*D6</f>
        <v>102272168.20621343</v>
      </c>
      <c r="F43" s="14">
        <f t="shared" ref="F43:AH43" si="28">E43*E6</f>
        <v>126893204.81891899</v>
      </c>
      <c r="G43" s="14">
        <f t="shared" si="28"/>
        <v>140080711.186869</v>
      </c>
      <c r="H43" s="14">
        <f t="shared" si="28"/>
        <v>147945513.21478975</v>
      </c>
      <c r="I43" s="14">
        <f t="shared" si="28"/>
        <v>153305240.9046917</v>
      </c>
      <c r="J43" s="14">
        <f t="shared" si="28"/>
        <v>156835131.68416908</v>
      </c>
      <c r="K43" s="14">
        <f t="shared" si="28"/>
        <v>159288347.6837846</v>
      </c>
      <c r="L43" s="14">
        <f t="shared" si="28"/>
        <v>161276745.47095516</v>
      </c>
      <c r="M43" s="14">
        <f t="shared" si="28"/>
        <v>162695951.22542226</v>
      </c>
      <c r="N43" s="14">
        <f t="shared" si="28"/>
        <v>163925630.11845219</v>
      </c>
      <c r="O43" s="14">
        <f t="shared" si="28"/>
        <v>164880344.03018573</v>
      </c>
      <c r="P43" s="14">
        <f t="shared" si="28"/>
        <v>165555638.46719101</v>
      </c>
      <c r="Q43" s="14">
        <f t="shared" si="28"/>
        <v>165747713.38936123</v>
      </c>
      <c r="R43" s="14">
        <f t="shared" si="28"/>
        <v>166123063.68628323</v>
      </c>
      <c r="S43" s="14">
        <f t="shared" si="28"/>
        <v>166371404.44779688</v>
      </c>
      <c r="T43" s="14">
        <f t="shared" si="28"/>
        <v>166519765.96507302</v>
      </c>
      <c r="U43" s="14">
        <f t="shared" si="28"/>
        <v>166640749.94756708</v>
      </c>
      <c r="V43" s="14">
        <f t="shared" si="28"/>
        <v>166670317.32178411</v>
      </c>
      <c r="W43" s="14">
        <f t="shared" si="28"/>
        <v>166903127.64064261</v>
      </c>
      <c r="X43" s="14">
        <f t="shared" si="28"/>
        <v>166983172.79901689</v>
      </c>
      <c r="Y43" s="14">
        <f t="shared" si="28"/>
        <v>167127241.05393156</v>
      </c>
      <c r="Z43" s="14">
        <f t="shared" si="28"/>
        <v>167206986.75705579</v>
      </c>
      <c r="AA43" s="14">
        <f t="shared" si="28"/>
        <v>167371934.62814945</v>
      </c>
      <c r="AB43" s="14">
        <f t="shared" si="28"/>
        <v>167636442.57031688</v>
      </c>
      <c r="AC43" s="14">
        <f t="shared" si="28"/>
        <v>168003641.75271696</v>
      </c>
      <c r="AD43" s="14">
        <f t="shared" si="28"/>
        <v>168593427.52300853</v>
      </c>
      <c r="AE43" s="14">
        <f t="shared" si="28"/>
        <v>168969641.36710051</v>
      </c>
      <c r="AF43" s="14">
        <f t="shared" si="28"/>
        <v>170870377.92559779</v>
      </c>
      <c r="AG43" s="14">
        <f t="shared" si="28"/>
        <v>170997901.55021742</v>
      </c>
      <c r="AH43" s="14">
        <f t="shared" si="28"/>
        <v>171151536.81570274</v>
      </c>
      <c r="AI43" s="14">
        <f t="shared" si="1"/>
        <v>171151536.81570274</v>
      </c>
      <c r="AJ43" s="16">
        <f>D43</f>
        <v>64614532.979166701</v>
      </c>
      <c r="AK43" s="16">
        <f t="shared" si="2"/>
        <v>171151536.81570274</v>
      </c>
      <c r="AL43" s="16">
        <f t="shared" si="3"/>
        <v>106537003.83653603</v>
      </c>
    </row>
    <row r="44" spans="2:38" ht="15" x14ac:dyDescent="0.35">
      <c r="B44" s="5">
        <v>2024</v>
      </c>
      <c r="C44" s="7">
        <v>23071016.679166701</v>
      </c>
      <c r="D44" s="14">
        <f t="shared" ref="D44:AH44" si="29">C6*C44</f>
        <v>77421322.032920673</v>
      </c>
      <c r="E44" s="14">
        <f t="shared" si="29"/>
        <v>122542810.4889538</v>
      </c>
      <c r="F44" s="14">
        <f t="shared" si="29"/>
        <v>152043808.4299466</v>
      </c>
      <c r="G44" s="14">
        <f t="shared" si="29"/>
        <v>167845117.05587822</v>
      </c>
      <c r="H44" s="14">
        <f t="shared" si="29"/>
        <v>177268745.80399817</v>
      </c>
      <c r="I44" s="14">
        <f t="shared" si="29"/>
        <v>183690787.16770273</v>
      </c>
      <c r="J44" s="14">
        <f t="shared" si="29"/>
        <v>187920312.60383135</v>
      </c>
      <c r="K44" s="14">
        <f t="shared" si="29"/>
        <v>190859763.17579147</v>
      </c>
      <c r="L44" s="14">
        <f t="shared" si="29"/>
        <v>193242267.20874196</v>
      </c>
      <c r="M44" s="14">
        <f t="shared" si="29"/>
        <v>194942763.68656993</v>
      </c>
      <c r="N44" s="14">
        <f t="shared" si="29"/>
        <v>196416168.52577308</v>
      </c>
      <c r="O44" s="14">
        <f t="shared" si="29"/>
        <v>197560109.52173236</v>
      </c>
      <c r="P44" s="14">
        <f t="shared" si="29"/>
        <v>198369249.28741455</v>
      </c>
      <c r="Q44" s="14">
        <f t="shared" si="29"/>
        <v>198599394.01984778</v>
      </c>
      <c r="R44" s="14">
        <f t="shared" si="29"/>
        <v>199049139.84131059</v>
      </c>
      <c r="S44" s="14">
        <f t="shared" si="29"/>
        <v>199346702.46669161</v>
      </c>
      <c r="T44" s="14">
        <f t="shared" si="29"/>
        <v>199524469.66977626</v>
      </c>
      <c r="U44" s="14">
        <f t="shared" si="29"/>
        <v>199669433.03076684</v>
      </c>
      <c r="V44" s="14">
        <f t="shared" si="29"/>
        <v>199704860.74486428</v>
      </c>
      <c r="W44" s="14">
        <f t="shared" si="29"/>
        <v>199983814.74852076</v>
      </c>
      <c r="X44" s="14">
        <f t="shared" si="29"/>
        <v>200079725.09094587</v>
      </c>
      <c r="Y44" s="14">
        <f t="shared" si="29"/>
        <v>200252348.09453651</v>
      </c>
      <c r="Z44" s="14">
        <f t="shared" si="29"/>
        <v>200347899.62880686</v>
      </c>
      <c r="AA44" s="14">
        <f t="shared" si="29"/>
        <v>200545540.64945316</v>
      </c>
      <c r="AB44" s="14">
        <f t="shared" si="29"/>
        <v>200862474.83788741</v>
      </c>
      <c r="AC44" s="14">
        <f t="shared" si="29"/>
        <v>201302453.97013599</v>
      </c>
      <c r="AD44" s="14">
        <f t="shared" si="29"/>
        <v>202009137.00175214</v>
      </c>
      <c r="AE44" s="14">
        <f t="shared" si="29"/>
        <v>202459917.52795482</v>
      </c>
      <c r="AF44" s="14">
        <f t="shared" si="29"/>
        <v>204737385.62081575</v>
      </c>
      <c r="AG44" s="14">
        <f t="shared" si="29"/>
        <v>204890184.80009118</v>
      </c>
      <c r="AH44" s="14">
        <f t="shared" si="29"/>
        <v>205074271.02367476</v>
      </c>
      <c r="AI44" s="14">
        <f t="shared" si="1"/>
        <v>205074271.02367476</v>
      </c>
      <c r="AJ44" s="16">
        <f>C44</f>
        <v>23071016.679166701</v>
      </c>
      <c r="AK44" s="16">
        <f t="shared" si="2"/>
        <v>205074271.02367476</v>
      </c>
      <c r="AL44" s="16">
        <f t="shared" si="3"/>
        <v>182003254.34450805</v>
      </c>
    </row>
    <row r="45" spans="2:38" ht="15.6" x14ac:dyDescent="0.3">
      <c r="AJ45" s="18">
        <f>SUM(AJ13:AJ44)</f>
        <v>2755850269.9681001</v>
      </c>
      <c r="AK45" s="18">
        <f>SUM(AK13:AK44)</f>
        <v>3244834777.1403518</v>
      </c>
      <c r="AL45" s="17">
        <f>SUM(AL13:AL44)</f>
        <v>488984507.17225063</v>
      </c>
    </row>
    <row r="48" spans="2:38" x14ac:dyDescent="0.3">
      <c r="AK4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 Reglements</vt:lpstr>
    </vt:vector>
  </TitlesOfParts>
  <Company>BMCE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kchikach riyane</cp:lastModifiedBy>
  <dcterms:created xsi:type="dcterms:W3CDTF">2026-07-06T09:25:07Z</dcterms:created>
  <dcterms:modified xsi:type="dcterms:W3CDTF">2026-07-31T13:17:48Z</dcterms:modified>
</cp:coreProperties>
</file>