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80966CA7959B1/Documents/"/>
    </mc:Choice>
  </mc:AlternateContent>
  <xr:revisionPtr revIDLastSave="35" documentId="8_{B46032FE-DB65-4796-A1F5-FFE16B2798B2}" xr6:coauthVersionLast="47" xr6:coauthVersionMax="47" xr10:uidLastSave="{16ACA8E6-EC7D-476B-88A5-49ABB1C94192}"/>
  <bookViews>
    <workbookView xWindow="-108" yWindow="-108" windowWidth="23256" windowHeight="12456" tabRatio="778" activeTab="5" xr2:uid="{134567E5-E3B2-43B3-8877-A9A1F344AEDC}"/>
  </bookViews>
  <sheets>
    <sheet name="Triangle Imcremente" sheetId="2" r:id="rId1"/>
    <sheet name=" somme diagonal" sheetId="3" r:id="rId2"/>
    <sheet name="recursion separation" sheetId="4" r:id="rId3"/>
    <sheet name="r_table" sheetId="5" r:id="rId4"/>
    <sheet name="lambda" sheetId="6" r:id="rId5"/>
    <sheet name="tableau complet incremente" sheetId="7" r:id="rId6"/>
    <sheet name="tableau complet cumulative" sheetId="8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" i="3" l="1"/>
  <c r="C34" i="3"/>
  <c r="F3" i="4"/>
  <c r="G3" i="4" s="1"/>
  <c r="H3" i="4" s="1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2" i="8"/>
  <c r="AJ34" i="8"/>
  <c r="AI34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2" i="8"/>
  <c r="AH33" i="7"/>
  <c r="AH32" i="7"/>
  <c r="AH31" i="7"/>
  <c r="AH30" i="7"/>
  <c r="AH29" i="7"/>
  <c r="AH28" i="7"/>
  <c r="AH27" i="7"/>
  <c r="AH26" i="7"/>
  <c r="AH25" i="7"/>
  <c r="AH24" i="7"/>
  <c r="AH23" i="7"/>
  <c r="AH22" i="7"/>
  <c r="AH21" i="7"/>
  <c r="AH20" i="7"/>
  <c r="AH19" i="7"/>
  <c r="AH18" i="7"/>
  <c r="AH17" i="7"/>
  <c r="AH16" i="7"/>
  <c r="AH15" i="7"/>
  <c r="AH14" i="7"/>
  <c r="AH13" i="7"/>
  <c r="AH12" i="7"/>
  <c r="AH11" i="7"/>
  <c r="AH10" i="7"/>
  <c r="AH9" i="7"/>
  <c r="AH8" i="7"/>
  <c r="AH7" i="7"/>
  <c r="AH6" i="7"/>
  <c r="AH5" i="7"/>
  <c r="AH4" i="7"/>
  <c r="AH3" i="7"/>
  <c r="AH2" i="7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B36" i="5"/>
  <c r="B35" i="5"/>
  <c r="B66" i="6"/>
  <c r="B34" i="5"/>
  <c r="C2" i="8"/>
  <c r="D2" i="8" s="1"/>
  <c r="E2" i="8" s="1"/>
  <c r="F2" i="8" s="1"/>
  <c r="G2" i="8" s="1"/>
  <c r="H2" i="8" s="1"/>
  <c r="I2" i="8" s="1"/>
  <c r="Q33" i="7"/>
  <c r="N22" i="7"/>
  <c r="N23" i="7"/>
  <c r="N24" i="7"/>
  <c r="N25" i="7"/>
  <c r="N26" i="7"/>
  <c r="N27" i="7"/>
  <c r="N28" i="7"/>
  <c r="N29" i="7"/>
  <c r="N30" i="7"/>
  <c r="N31" i="7"/>
  <c r="N32" i="7"/>
  <c r="M23" i="7"/>
  <c r="M24" i="7"/>
  <c r="M25" i="7"/>
  <c r="M26" i="7"/>
  <c r="M27" i="7"/>
  <c r="M28" i="7"/>
  <c r="M29" i="7"/>
  <c r="M30" i="7"/>
  <c r="M31" i="7"/>
  <c r="M32" i="7"/>
  <c r="J26" i="7"/>
  <c r="J27" i="7"/>
  <c r="J28" i="7"/>
  <c r="J29" i="7"/>
  <c r="J30" i="7"/>
  <c r="J31" i="7"/>
  <c r="J32" i="7"/>
  <c r="L24" i="7"/>
  <c r="L25" i="7"/>
  <c r="L26" i="7"/>
  <c r="L27" i="7"/>
  <c r="L28" i="7"/>
  <c r="L29" i="7"/>
  <c r="L30" i="7"/>
  <c r="L31" i="7"/>
  <c r="L32" i="7"/>
  <c r="K25" i="7"/>
  <c r="K26" i="7"/>
  <c r="K27" i="7"/>
  <c r="K28" i="7"/>
  <c r="K29" i="7"/>
  <c r="K30" i="7"/>
  <c r="K31" i="7"/>
  <c r="K32" i="7"/>
  <c r="I27" i="7"/>
  <c r="I28" i="7"/>
  <c r="I29" i="7"/>
  <c r="I31" i="7"/>
  <c r="I30" i="7"/>
  <c r="I32" i="7"/>
  <c r="H28" i="7"/>
  <c r="H29" i="7"/>
  <c r="H30" i="7"/>
  <c r="H31" i="7"/>
  <c r="H32" i="7"/>
  <c r="G29" i="7"/>
  <c r="G30" i="7"/>
  <c r="G31" i="7"/>
  <c r="G32" i="7"/>
  <c r="F30" i="7"/>
  <c r="F31" i="7"/>
  <c r="F32" i="7"/>
  <c r="E31" i="7"/>
  <c r="E32" i="7"/>
  <c r="D32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" i="6"/>
  <c r="D2" i="3"/>
  <c r="D33" i="3"/>
  <c r="D32" i="3"/>
  <c r="D31" i="3"/>
  <c r="D30" i="3"/>
  <c r="D28" i="3"/>
  <c r="D29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E4" i="4" l="1"/>
  <c r="F4" i="4" s="1"/>
  <c r="G4" i="4" s="1"/>
  <c r="H4" i="4" s="1"/>
  <c r="H5" i="6"/>
  <c r="H6" i="6"/>
  <c r="H7" i="6" s="1"/>
  <c r="E5" i="4" l="1"/>
  <c r="F5" i="4" s="1"/>
  <c r="G5" i="4" s="1"/>
  <c r="H5" i="4" s="1"/>
  <c r="B35" i="6"/>
  <c r="B38" i="6"/>
  <c r="B41" i="6"/>
  <c r="B43" i="6"/>
  <c r="B46" i="6"/>
  <c r="B49" i="6"/>
  <c r="B52" i="6"/>
  <c r="B56" i="6"/>
  <c r="B58" i="6"/>
  <c r="B61" i="6"/>
  <c r="B65" i="6"/>
  <c r="B37" i="6"/>
  <c r="B50" i="6"/>
  <c r="B36" i="6"/>
  <c r="B40" i="6"/>
  <c r="B45" i="6"/>
  <c r="B48" i="6"/>
  <c r="B51" i="6"/>
  <c r="B54" i="6"/>
  <c r="B55" i="6"/>
  <c r="B59" i="6"/>
  <c r="B60" i="6"/>
  <c r="B63" i="6"/>
  <c r="B39" i="6"/>
  <c r="B42" i="6"/>
  <c r="B44" i="6"/>
  <c r="B47" i="6"/>
  <c r="B53" i="6"/>
  <c r="B57" i="6"/>
  <c r="B62" i="6"/>
  <c r="B64" i="6"/>
  <c r="E6" i="4" l="1"/>
  <c r="F6" i="4" s="1"/>
  <c r="G6" i="4" s="1"/>
  <c r="H6" i="4" s="1"/>
  <c r="E7" i="4" l="1"/>
  <c r="F7" i="4" s="1"/>
  <c r="G7" i="4" s="1"/>
  <c r="H7" i="4" s="1"/>
  <c r="E8" i="4" l="1"/>
  <c r="F8" i="4" s="1"/>
  <c r="G8" i="4" s="1"/>
  <c r="H8" i="4" s="1"/>
  <c r="E9" i="4" l="1"/>
  <c r="F9" i="4" s="1"/>
  <c r="G9" i="4" s="1"/>
  <c r="H9" i="4" s="1"/>
  <c r="E10" i="4" s="1"/>
  <c r="F10" i="4" s="1"/>
  <c r="G10" i="4" s="1"/>
  <c r="H10" i="4" s="1"/>
  <c r="E11" i="4" l="1"/>
  <c r="F11" i="4" s="1"/>
  <c r="G11" i="4" s="1"/>
  <c r="H11" i="4" s="1"/>
  <c r="E12" i="4" l="1"/>
  <c r="F12" i="4" s="1"/>
  <c r="G12" i="4" s="1"/>
  <c r="H12" i="4" s="1"/>
  <c r="E13" i="4" l="1"/>
  <c r="F13" i="4" s="1"/>
  <c r="G13" i="4" s="1"/>
  <c r="H13" i="4" s="1"/>
  <c r="E14" i="4" l="1"/>
  <c r="F14" i="4" s="1"/>
  <c r="G14" i="4" s="1"/>
  <c r="H14" i="4" s="1"/>
  <c r="E15" i="4" s="1"/>
  <c r="F15" i="4" s="1"/>
  <c r="G15" i="4" s="1"/>
  <c r="H15" i="4" s="1"/>
  <c r="E16" i="4" s="1"/>
  <c r="F16" i="4" s="1"/>
  <c r="G16" i="4" s="1"/>
  <c r="H16" i="4" s="1"/>
  <c r="E17" i="4" s="1"/>
  <c r="F17" i="4" s="1"/>
  <c r="G17" i="4" s="1"/>
  <c r="H17" i="4" s="1"/>
  <c r="E18" i="4" s="1"/>
  <c r="F18" i="4" s="1"/>
  <c r="G18" i="4" s="1"/>
  <c r="H18" i="4" s="1"/>
  <c r="E19" i="4" s="1"/>
  <c r="F19" i="4" s="1"/>
  <c r="G19" i="4" s="1"/>
  <c r="H19" i="4" s="1"/>
  <c r="E20" i="4" s="1"/>
  <c r="F20" i="4" s="1"/>
  <c r="G20" i="4" s="1"/>
  <c r="H20" i="4" s="1"/>
  <c r="E21" i="4" s="1"/>
  <c r="F21" i="4" s="1"/>
  <c r="G21" i="4" s="1"/>
  <c r="H21" i="4" s="1"/>
  <c r="E22" i="4" s="1"/>
  <c r="F22" i="4" s="1"/>
  <c r="G22" i="4" s="1"/>
  <c r="H22" i="4" s="1"/>
  <c r="E23" i="4" s="1"/>
  <c r="F23" i="4" s="1"/>
  <c r="G23" i="4" s="1"/>
  <c r="H23" i="4" s="1"/>
  <c r="E24" i="4" s="1"/>
  <c r="F24" i="4" s="1"/>
  <c r="G24" i="4" s="1"/>
  <c r="H24" i="4" s="1"/>
  <c r="E25" i="4" s="1"/>
  <c r="F25" i="4" s="1"/>
  <c r="G25" i="4" s="1"/>
  <c r="H25" i="4" s="1"/>
  <c r="E26" i="4" s="1"/>
  <c r="F26" i="4" s="1"/>
  <c r="G26" i="4" s="1"/>
  <c r="H26" i="4" s="1"/>
  <c r="E27" i="4" s="1"/>
  <c r="F27" i="4" s="1"/>
  <c r="G27" i="4" s="1"/>
  <c r="H27" i="4" s="1"/>
  <c r="E28" i="4" s="1"/>
  <c r="F28" i="4" s="1"/>
  <c r="G28" i="4" s="1"/>
  <c r="H28" i="4" s="1"/>
  <c r="E29" i="4"/>
  <c r="F29" i="4" s="1"/>
  <c r="G29" i="4" s="1"/>
  <c r="H29" i="4" s="1"/>
  <c r="E30" i="4" s="1"/>
  <c r="F30" i="4" s="1"/>
  <c r="G30" i="4" s="1"/>
  <c r="H30" i="4" s="1"/>
  <c r="E31" i="4" s="1"/>
  <c r="F31" i="4" s="1"/>
  <c r="G31" i="4" s="1"/>
  <c r="H31" i="4" s="1"/>
  <c r="E32" i="4" s="1"/>
  <c r="F32" i="4" s="1"/>
  <c r="G32" i="4" s="1"/>
  <c r="H32" i="4" s="1"/>
  <c r="E33" i="4" s="1"/>
  <c r="F33" i="4" s="1"/>
  <c r="G33" i="4" s="1"/>
  <c r="H33" i="4" s="1"/>
  <c r="E34" i="4" s="1"/>
  <c r="F34" i="4" s="1"/>
  <c r="G34" i="4" s="1"/>
  <c r="H34" i="4" s="1"/>
  <c r="H36" i="4" s="1"/>
</calcChain>
</file>

<file path=xl/sharedStrings.xml><?xml version="1.0" encoding="utf-8"?>
<sst xmlns="http://schemas.openxmlformats.org/spreadsheetml/2006/main" count="128" uniqueCount="62">
  <si>
    <t>N+0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</si>
  <si>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</si>
  <si>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</si>
  <si>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</si>
  <si>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</si>
  <si>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</si>
  <si>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</si>
  <si>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</si>
  <si>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</si>
  <si>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</si>
  <si>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</si>
  <si>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</si>
  <si>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</si>
  <si>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</si>
  <si>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</si>
  <si>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</si>
  <si>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N+16</t>
  </si>
  <si>
    <t>N+17</t>
  </si>
  <si>
    <t>N+18</t>
  </si>
  <si>
    <t>N+19</t>
  </si>
  <si>
    <t>N+20</t>
  </si>
  <si>
    <t>N+21</t>
  </si>
  <si>
    <t>N+22</t>
  </si>
  <si>
    <t>N+23</t>
  </si>
  <si>
    <t>N+24</t>
  </si>
  <si>
    <t>N+25</t>
  </si>
  <si>
    <t>N+26</t>
  </si>
  <si>
    <t>N+27</t>
  </si>
  <si>
    <t>N+28</t>
  </si>
  <si>
    <t>N+29</t>
  </si>
  <si>
    <t>N+30</t>
  </si>
  <si>
    <t>N+31</t>
  </si>
  <si>
    <t>N+32</t>
  </si>
  <si>
    <t xml:space="preserve">indice </t>
  </si>
  <si>
    <t>somme diagonale</t>
  </si>
  <si>
    <t>somme colonne</t>
  </si>
  <si>
    <t>m</t>
  </si>
  <si>
    <t>d(m)</t>
  </si>
  <si>
    <t>v(m)</t>
  </si>
  <si>
    <t>CumR before (sum r(m+1..k))</t>
  </si>
  <si>
    <t>lambda(m)</t>
  </si>
  <si>
    <t>CumLambda incl. (sum lambda(m..k))</t>
  </si>
  <si>
    <t>r(m)</t>
  </si>
  <si>
    <t>j</t>
  </si>
  <si>
    <t>r(j)</t>
  </si>
  <si>
    <t>lambda(t)</t>
  </si>
  <si>
    <t>Log-linear trend fit (OLS of ln(lambda) on t, t=0..31)</t>
  </si>
  <si>
    <t>alpha (intercept)</t>
  </si>
  <si>
    <t>beta (slope per period)</t>
  </si>
  <si>
    <t>implied annual rate = EXP(beta)-1</t>
  </si>
  <si>
    <t>Dernier paye (diagonal)</t>
  </si>
  <si>
    <t>r_scaled(j)  [used in projections]</t>
  </si>
  <si>
    <t>sum</t>
  </si>
  <si>
    <t>Ultime Taylor - Separation</t>
  </si>
  <si>
    <t>IBNR taylor</t>
  </si>
  <si>
    <t>Le volume de sinistralité r(t)</t>
  </si>
  <si>
    <t>lambda = cout due a inflation</t>
  </si>
  <si>
    <t>dt = somme horizontale proportion de sinistres payé</t>
  </si>
  <si>
    <r>
      <t xml:space="preserve">vt = somme diagonale </t>
    </r>
    <r>
      <rPr>
        <b/>
        <sz val="11"/>
        <color theme="1"/>
        <rFont val="Aptos Narrow"/>
        <family val="2"/>
        <scheme val="minor"/>
      </rPr>
      <t>La valeur</t>
    </r>
  </si>
  <si>
    <t>rm = paramètre d'exposition</t>
  </si>
  <si>
    <t>t</t>
  </si>
  <si>
    <t xml:space="preserve">ln(lambda)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</si>
</sst>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000"/>
    <numFmt numFmtId="166" formatCode="0.00000"/>
    <numFmt numFmtId="167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Trebuchet MS"/>
      <family val="2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1"/>
        <bgColor rgb="FF00336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0" fillId="2" borderId="0" xfId="1" applyNumberFormat="1" applyFont="1" applyFill="1"/>
    <xf numFmtId="164" fontId="4" fillId="3" borderId="0" xfId="1" applyNumberFormat="1" applyFont="1" applyFill="1"/>
    <xf numFmtId="164" fontId="4" fillId="3" borderId="1" xfId="1" applyNumberFormat="1" applyFont="1" applyFill="1" applyBorder="1" applyAlignment="1">
      <alignment horizontal="center"/>
    </xf>
    <xf numFmtId="164" fontId="4" fillId="3" borderId="0" xfId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0" fillId="4" borderId="0" xfId="1" applyNumberFormat="1" applyFont="1" applyFill="1"/>
    <xf numFmtId="164" fontId="1" fillId="4" borderId="0" xfId="1" applyNumberFormat="1" applyFont="1" applyFill="1"/>
    <xf numFmtId="164" fontId="1" fillId="5" borderId="0" xfId="1" applyNumberFormat="1" applyFont="1" applyFill="1"/>
    <xf numFmtId="164" fontId="0" fillId="4" borderId="0" xfId="1" applyNumberFormat="1" applyFont="1" applyFill="1" applyBorder="1"/>
    <xf numFmtId="0" fontId="3" fillId="0" borderId="0" xfId="0" applyFont="1"/>
    <xf numFmtId="0" fontId="7" fillId="0" borderId="2" xfId="0" applyFont="1" applyBorder="1"/>
    <xf numFmtId="3" fontId="3" fillId="0" borderId="2" xfId="0" applyNumberFormat="1" applyFont="1" applyBorder="1"/>
    <xf numFmtId="0" fontId="8" fillId="6" borderId="0" xfId="0" applyFont="1" applyFill="1" applyAlignment="1">
      <alignment horizontal="center" wrapText="1"/>
    </xf>
    <xf numFmtId="0" fontId="9" fillId="0" borderId="2" xfId="0" applyFont="1" applyBorder="1"/>
    <xf numFmtId="3" fontId="6" fillId="0" borderId="2" xfId="0" applyNumberFormat="1" applyFont="1" applyBorder="1"/>
    <xf numFmtId="165" fontId="0" fillId="0" borderId="0" xfId="0" applyNumberFormat="1"/>
    <xf numFmtId="0" fontId="8" fillId="6" borderId="0" xfId="0" applyFont="1" applyFill="1"/>
    <xf numFmtId="166" fontId="6" fillId="0" borderId="2" xfId="0" applyNumberFormat="1" applyFont="1" applyBorder="1"/>
    <xf numFmtId="0" fontId="8" fillId="7" borderId="0" xfId="0" applyFont="1" applyFill="1" applyAlignment="1">
      <alignment horizontal="center" wrapText="1"/>
    </xf>
    <xf numFmtId="165" fontId="8" fillId="7" borderId="0" xfId="0" applyNumberFormat="1" applyFont="1" applyFill="1" applyAlignment="1">
      <alignment horizontal="center" wrapText="1"/>
    </xf>
    <xf numFmtId="0" fontId="9" fillId="0" borderId="3" xfId="0" applyFont="1" applyBorder="1"/>
    <xf numFmtId="166" fontId="6" fillId="0" borderId="3" xfId="0" applyNumberFormat="1" applyFont="1" applyBorder="1"/>
    <xf numFmtId="0" fontId="10" fillId="0" borderId="0" xfId="0" applyFont="1"/>
    <xf numFmtId="0" fontId="9" fillId="0" borderId="0" xfId="0" applyFont="1"/>
    <xf numFmtId="167" fontId="0" fillId="0" borderId="0" xfId="0" applyNumberFormat="1"/>
    <xf numFmtId="10" fontId="0" fillId="0" borderId="0" xfId="0" applyNumberFormat="1"/>
    <xf numFmtId="164" fontId="2" fillId="4" borderId="0" xfId="1" applyNumberFormat="1" applyFont="1" applyFill="1"/>
    <xf numFmtId="0" fontId="9" fillId="0" borderId="4" xfId="0" applyFont="1" applyBorder="1"/>
    <xf numFmtId="3" fontId="6" fillId="0" borderId="4" xfId="0" applyNumberFormat="1" applyFont="1" applyBorder="1"/>
    <xf numFmtId="164" fontId="0" fillId="0" borderId="0" xfId="0" applyNumberFormat="1"/>
    <xf numFmtId="3" fontId="11" fillId="0" borderId="0" xfId="0" applyNumberFormat="1" applyFont="1"/>
    <xf numFmtId="164" fontId="11" fillId="0" borderId="0" xfId="0" applyNumberFormat="1" applyFont="1"/>
    <xf numFmtId="164" fontId="11" fillId="5" borderId="0" xfId="0" applyNumberFormat="1" applyFont="1" applyFill="1"/>
    <xf numFmtId="3" fontId="3" fillId="5" borderId="0" xfId="0" applyNumberFormat="1" applyFont="1" applyFill="1"/>
    <xf numFmtId="2" fontId="3" fillId="0" borderId="0" xfId="0" applyNumberFormat="1" applyFont="1"/>
    <xf numFmtId="2" fontId="0" fillId="0" borderId="0" xfId="0" applyNumberFormat="1"/>
  </cellXfs>
  <cellStyles count="2">
    <cellStyle name="Milliers 10" xfId="1" xr:uid="{77EB7BF4-F963-47F0-B08D-7B9841E7DAD9}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numFmt numFmtId="165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theme="1"/>
        </patternFill>
      </fill>
      <alignment horizontal="center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6" formatCode="0.000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F8B5A-E5B0-4D78-BFC5-242635901602}" name="Table1" displayName="Table1" ref="B1:D33" totalsRowShown="0" headerRowDxfId="12">
  <autoFilter ref="B1:D33" xr:uid="{82FF8B5A-E5B0-4D78-BFC5-242635901602}"/>
  <tableColumns count="3">
    <tableColumn id="1" xr3:uid="{20B3315B-EA83-44CE-B851-32DC3D719683}" name="indice " dataDxfId="11"/>
    <tableColumn id="2" xr3:uid="{4AF0D18E-AAD0-47B0-BBFD-8DF9F01DFF27}" name="somme diagonale" dataDxfId="1"/>
    <tableColumn id="3" xr3:uid="{454FBB33-0CA5-488D-920A-AC4213EB8671}" name="somme colonn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23B826-917C-4C39-A25D-A2E484EB52B1}" name="Table2" displayName="Table2" ref="B2:H34" totalsRowShown="0" headerRowDxfId="6">
  <autoFilter ref="B2:H34" xr:uid="{B523B826-917C-4C39-A25D-A2E484EB52B1}"/>
  <tableColumns count="7">
    <tableColumn id="1" xr3:uid="{02DB6F2A-483B-4232-8A6D-262887151721}" name="m" dataDxfId="5"/>
    <tableColumn id="2" xr3:uid="{CB4469F6-FACC-46D3-BE97-7413A66F5611}" name="d(m)" dataDxfId="4"/>
    <tableColumn id="3" xr3:uid="{4DF5CF63-C4F0-436A-859A-A6C68A889E17}" name="v(m)" dataDxfId="3"/>
    <tableColumn id="4" xr3:uid="{B4F43693-42E3-4472-9D29-DE396AF2CFC8}" name="CumR before (sum r(m+1..k))" dataDxfId="2"/>
    <tableColumn id="5" xr3:uid="{FEE4AE18-F70A-42D5-8575-789DDF1C85EC}" name="lambda(m)">
      <calculatedColumnFormula>C3/(1-E3)</calculatedColumnFormula>
    </tableColumn>
    <tableColumn id="6" xr3:uid="{F385D04C-0BB4-4732-AF1B-6D8D3E1172F8}" name="CumLambda incl. (sum lambda(m..k))">
      <calculatedColumnFormula>F3+G2</calculatedColumnFormula>
    </tableColumn>
    <tableColumn id="7" xr3:uid="{7F83B874-9A6C-44D3-8346-745241E9948E}" name="r(m)">
      <calculatedColumnFormula>D3/G3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1F81CB-BE11-43C4-9506-9B4175BECE37}" name="Table3" displayName="Table3" ref="A1:C36" totalsRowShown="0" tableBorderDxfId="10">
  <autoFilter ref="A1:C36" xr:uid="{F91F81CB-BE11-43C4-9506-9B4175BECE37}"/>
  <tableColumns count="3">
    <tableColumn id="1" xr3:uid="{B253ED7A-D3A4-4A02-B057-BA4AE1AD8E8C}" name="j" dataDxfId="9"/>
    <tableColumn id="2" xr3:uid="{C439CC7E-EE5A-4656-AE35-7EEA32A5B639}" name="r(j)" dataDxfId="8"/>
    <tableColumn id="3" xr3:uid="{736427F4-3E86-4395-A5B4-B9CB3FF4A05B}" name="r_scaled(j)  [used in projections]" dataDxfId="7">
      <calculatedColumnFormula>Table3[[#This Row],[r(j)]]*$B$36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B4BC-0A14-48BF-A548-8EFBA60272AD}">
  <dimension ref="A1:AH35"/>
  <sheetViews>
    <sheetView workbookViewId="0">
      <selection activeCell="Q32" sqref="Q32"/>
    </sheetView>
  </sheetViews>
  <sheetFormatPr defaultRowHeight="14.4" x14ac:dyDescent="0.3"/>
  <cols>
    <col min="1" max="1" width="5" bestFit="1" customWidth="1"/>
    <col min="2" max="5" width="11.21875" bestFit="1" customWidth="1"/>
    <col min="6" max="28" width="12.21875" bestFit="1" customWidth="1"/>
    <col min="29" max="33" width="11.21875" bestFit="1" customWidth="1"/>
    <col min="34" max="34" width="6.6640625" bestFit="1" customWidth="1"/>
  </cols>
  <sheetData>
    <row r="1" spans="1:34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</row>
    <row r="2" spans="1:34" ht="15" x14ac:dyDescent="0.35">
      <c r="A2" s="5">
        <v>1993</v>
      </c>
      <c r="B2" s="7">
        <v>6185001.3499999996</v>
      </c>
      <c r="C2" s="7">
        <v>16477635.4375</v>
      </c>
      <c r="D2" s="7">
        <v>14560231.9708333</v>
      </c>
      <c r="E2" s="7">
        <v>5980859.174999997</v>
      </c>
      <c r="F2" s="7">
        <v>5529084.2124999985</v>
      </c>
      <c r="G2" s="7">
        <v>3312719.0541667044</v>
      </c>
      <c r="H2" s="7">
        <v>2256913.491666697</v>
      </c>
      <c r="I2" s="7">
        <v>563467.88333330303</v>
      </c>
      <c r="J2" s="7">
        <v>381601.37083330005</v>
      </c>
      <c r="K2" s="7">
        <v>354459.22499999404</v>
      </c>
      <c r="L2" s="7">
        <v>413748.55000000447</v>
      </c>
      <c r="M2" s="7">
        <v>8314.295833401382</v>
      </c>
      <c r="N2" s="7">
        <v>3432266.4808332995</v>
      </c>
      <c r="O2" s="7">
        <v>2154378.7566666976</v>
      </c>
      <c r="P2" s="7">
        <v>475838.73333329707</v>
      </c>
      <c r="Q2" s="7">
        <v>320420.25416669995</v>
      </c>
      <c r="R2" s="7">
        <v>-17609.5</v>
      </c>
      <c r="S2" s="7">
        <v>18012.208333306015</v>
      </c>
      <c r="T2" s="7">
        <v>-139674.46250000596</v>
      </c>
      <c r="U2" s="7">
        <v>8973.6916666999459</v>
      </c>
      <c r="V2" s="7">
        <v>14802.57500000298</v>
      </c>
      <c r="W2" s="7">
        <v>8443.375</v>
      </c>
      <c r="X2" s="7">
        <v>11444.545833297074</v>
      </c>
      <c r="Y2" s="7">
        <v>32684.08750000596</v>
      </c>
      <c r="Z2" s="7">
        <v>-5517.6583333015442</v>
      </c>
      <c r="AA2" s="7">
        <v>257579.30833330005</v>
      </c>
      <c r="AB2" s="7">
        <v>128459.40416669846</v>
      </c>
      <c r="AC2" s="7">
        <v>63484.53750000149</v>
      </c>
      <c r="AD2" s="7">
        <v>436267.60000000149</v>
      </c>
      <c r="AE2" s="7">
        <v>120003.07916659862</v>
      </c>
      <c r="AF2" s="7">
        <v>87909.9375</v>
      </c>
      <c r="AG2" s="8">
        <v>56991.479166701436</v>
      </c>
      <c r="AH2" s="7"/>
    </row>
    <row r="3" spans="1:34" ht="15" x14ac:dyDescent="0.35">
      <c r="A3" s="5">
        <v>1994</v>
      </c>
      <c r="B3" s="7">
        <v>8447485.8291666675</v>
      </c>
      <c r="C3" s="7">
        <v>18221786.454166632</v>
      </c>
      <c r="D3" s="7">
        <v>13080926.875</v>
      </c>
      <c r="E3" s="7">
        <v>9339048.1875</v>
      </c>
      <c r="F3" s="7">
        <v>5472914.304166697</v>
      </c>
      <c r="G3" s="7">
        <v>4401312.0041666999</v>
      </c>
      <c r="H3" s="7">
        <v>1609329.7416667044</v>
      </c>
      <c r="I3" s="7">
        <v>1273875.6208333001</v>
      </c>
      <c r="J3" s="7">
        <v>907188.76666659862</v>
      </c>
      <c r="K3" s="7">
        <v>496264.77916669846</v>
      </c>
      <c r="L3" s="7">
        <v>-194896.70416659862</v>
      </c>
      <c r="M3" s="7">
        <v>4427947.547499992</v>
      </c>
      <c r="N3" s="7">
        <v>2974417.0191666037</v>
      </c>
      <c r="O3" s="7">
        <v>325981.52083340287</v>
      </c>
      <c r="P3" s="7">
        <v>238501.91249999404</v>
      </c>
      <c r="Q3" s="7">
        <v>48641.779166609049</v>
      </c>
      <c r="R3" s="7">
        <v>-49755.008333295584</v>
      </c>
      <c r="S3" s="7">
        <v>309883.2541666925</v>
      </c>
      <c r="T3" s="7">
        <v>93747.8125</v>
      </c>
      <c r="U3" s="7">
        <v>77321.795833304524</v>
      </c>
      <c r="V3" s="7">
        <v>3981.2666666954756</v>
      </c>
      <c r="W3" s="7">
        <v>-10493.633333399892</v>
      </c>
      <c r="X3" s="7">
        <v>47916.908333405852</v>
      </c>
      <c r="Y3" s="7">
        <v>-39350.679166704416</v>
      </c>
      <c r="Z3" s="7">
        <v>192029.8125</v>
      </c>
      <c r="AA3" s="7">
        <v>149703.09999999404</v>
      </c>
      <c r="AB3" s="7">
        <v>239841.54166670144</v>
      </c>
      <c r="AC3" s="7">
        <v>432359.25833331048</v>
      </c>
      <c r="AD3" s="7">
        <v>37580.641666695476</v>
      </c>
      <c r="AE3" s="7">
        <v>97285.16249999404</v>
      </c>
      <c r="AF3" s="8">
        <v>13587.11249999702</v>
      </c>
      <c r="AG3" s="7"/>
      <c r="AH3" s="7"/>
    </row>
    <row r="4" spans="1:34" ht="15" x14ac:dyDescent="0.35">
      <c r="A4" s="5">
        <v>1995</v>
      </c>
      <c r="B4" s="7">
        <v>9650006.4791666679</v>
      </c>
      <c r="C4" s="7">
        <v>16522194.070833331</v>
      </c>
      <c r="D4" s="7">
        <v>17457693.762499999</v>
      </c>
      <c r="E4" s="7">
        <v>11444316.554166697</v>
      </c>
      <c r="F4" s="7">
        <v>6939979.2958333045</v>
      </c>
      <c r="G4" s="7">
        <v>3200753.5958333015</v>
      </c>
      <c r="H4" s="7">
        <v>2332552.279166691</v>
      </c>
      <c r="I4" s="7">
        <v>1232889.4916667044</v>
      </c>
      <c r="J4" s="7">
        <v>1321795.2041666061</v>
      </c>
      <c r="K4" s="7">
        <v>266029.18333339691</v>
      </c>
      <c r="L4" s="7">
        <v>5288806.1208332926</v>
      </c>
      <c r="M4" s="7">
        <v>3793962.8958332986</v>
      </c>
      <c r="N4" s="7">
        <v>76986.0625</v>
      </c>
      <c r="O4" s="7">
        <v>126728.28750000894</v>
      </c>
      <c r="P4" s="7">
        <v>108178.66249999404</v>
      </c>
      <c r="Q4" s="7">
        <v>95223.616666704416</v>
      </c>
      <c r="R4" s="7">
        <v>65879.429166704416</v>
      </c>
      <c r="S4" s="7">
        <v>139290.28749999404</v>
      </c>
      <c r="T4" s="7">
        <v>22683.595833301544</v>
      </c>
      <c r="U4" s="7">
        <v>4405.0708332955837</v>
      </c>
      <c r="V4" s="7">
        <v>-19968.058333292603</v>
      </c>
      <c r="W4" s="7">
        <v>266833.01666669548</v>
      </c>
      <c r="X4" s="7">
        <v>211917.67499990761</v>
      </c>
      <c r="Y4" s="7">
        <v>144487.36249999702</v>
      </c>
      <c r="Z4" s="7">
        <v>17730.16249999404</v>
      </c>
      <c r="AA4" s="7">
        <v>55571.21250000596</v>
      </c>
      <c r="AB4" s="7">
        <v>-141507.56666660309</v>
      </c>
      <c r="AC4" s="7">
        <v>1014278.487499997</v>
      </c>
      <c r="AD4" s="7">
        <v>220247.10833330452</v>
      </c>
      <c r="AE4" s="8">
        <v>2230937.2416667044</v>
      </c>
      <c r="AF4" s="7"/>
      <c r="AG4" s="7"/>
      <c r="AH4" s="7"/>
    </row>
    <row r="5" spans="1:34" ht="15" x14ac:dyDescent="0.35">
      <c r="A5" s="5">
        <v>1996</v>
      </c>
      <c r="B5" s="7">
        <v>8642833.6000000015</v>
      </c>
      <c r="C5" s="7">
        <v>19031349.899999999</v>
      </c>
      <c r="D5" s="7">
        <v>18760633.545833297</v>
      </c>
      <c r="E5" s="7">
        <v>15239411.8125</v>
      </c>
      <c r="F5" s="7">
        <v>6578459.3000001088</v>
      </c>
      <c r="G5" s="7">
        <v>2866937.5666665882</v>
      </c>
      <c r="H5" s="7">
        <v>2021820.150000006</v>
      </c>
      <c r="I5" s="7">
        <v>1112610.125</v>
      </c>
      <c r="J5" s="7">
        <v>621762.89166669548</v>
      </c>
      <c r="K5" s="7">
        <v>5209226.075000003</v>
      </c>
      <c r="L5" s="7">
        <v>3362432.0333333015</v>
      </c>
      <c r="M5" s="7">
        <v>108998.36249999702</v>
      </c>
      <c r="N5" s="7">
        <v>70171.916666701436</v>
      </c>
      <c r="O5" s="7">
        <v>291897.34583330154</v>
      </c>
      <c r="P5" s="7">
        <v>36002.516666695476</v>
      </c>
      <c r="Q5" s="7">
        <v>-19398.808333396912</v>
      </c>
      <c r="R5" s="7">
        <v>70163.395833402872</v>
      </c>
      <c r="S5" s="7">
        <v>51373.866666600108</v>
      </c>
      <c r="T5" s="7">
        <v>-4650.4208333045244</v>
      </c>
      <c r="U5" s="7">
        <v>-174161.75</v>
      </c>
      <c r="V5" s="7">
        <v>141948.08750000596</v>
      </c>
      <c r="W5" s="7">
        <v>-32868.895833298564</v>
      </c>
      <c r="X5" s="7">
        <v>132517.9958332926</v>
      </c>
      <c r="Y5" s="7">
        <v>30104.845833301544</v>
      </c>
      <c r="Z5" s="7">
        <v>181710.97083340585</v>
      </c>
      <c r="AA5" s="7">
        <v>207623.60416670144</v>
      </c>
      <c r="AB5" s="7">
        <v>110844.57083329558</v>
      </c>
      <c r="AC5" s="7">
        <v>-201248.82083329558</v>
      </c>
      <c r="AD5" s="8">
        <v>-21538.608333408833</v>
      </c>
      <c r="AE5" s="7"/>
      <c r="AF5" s="7"/>
      <c r="AG5" s="7"/>
    </row>
    <row r="6" spans="1:34" ht="15" x14ac:dyDescent="0.35">
      <c r="A6" s="5">
        <v>1997</v>
      </c>
      <c r="B6" s="7">
        <v>8686941.6291666664</v>
      </c>
      <c r="C6" s="7">
        <v>19909836.016666628</v>
      </c>
      <c r="D6" s="7">
        <v>22485374.304166704</v>
      </c>
      <c r="E6" s="7">
        <v>15075554.070833296</v>
      </c>
      <c r="F6" s="7">
        <v>7405927.1791667044</v>
      </c>
      <c r="G6" s="7">
        <v>3901722.6499999911</v>
      </c>
      <c r="H6" s="7">
        <v>3286638.712500006</v>
      </c>
      <c r="I6" s="7">
        <v>2634937.450000003</v>
      </c>
      <c r="J6" s="7">
        <v>7109092.3366667032</v>
      </c>
      <c r="K6" s="7">
        <v>4634500.6883332878</v>
      </c>
      <c r="L6" s="7">
        <v>1026714.9750000089</v>
      </c>
      <c r="M6" s="7">
        <v>437357.64583340287</v>
      </c>
      <c r="N6" s="7">
        <v>69066.429166600108</v>
      </c>
      <c r="O6" s="7">
        <v>32164.274999991059</v>
      </c>
      <c r="P6" s="7">
        <v>-7351.4916666001081</v>
      </c>
      <c r="Q6" s="7">
        <v>410299.32083331048</v>
      </c>
      <c r="R6" s="7">
        <v>9912.625</v>
      </c>
      <c r="S6" s="7">
        <v>14720.204166695476</v>
      </c>
      <c r="T6" s="7">
        <v>20299.391666591167</v>
      </c>
      <c r="U6" s="7">
        <v>-288082.51666659117</v>
      </c>
      <c r="V6" s="7">
        <v>139883.33749999106</v>
      </c>
      <c r="W6" s="7">
        <v>231581.50416660309</v>
      </c>
      <c r="X6" s="7">
        <v>153685.75833339989</v>
      </c>
      <c r="Y6" s="7">
        <v>-26352.016666695476</v>
      </c>
      <c r="Z6" s="7">
        <v>108768.89166669548</v>
      </c>
      <c r="AA6" s="7">
        <v>-52373.70000000298</v>
      </c>
      <c r="AB6" s="7">
        <v>230869.02083331347</v>
      </c>
      <c r="AC6" s="8">
        <v>87368.270833298564</v>
      </c>
      <c r="AD6" s="7"/>
      <c r="AE6" s="7"/>
      <c r="AF6" s="7"/>
      <c r="AG6" s="7"/>
      <c r="AH6" s="7"/>
    </row>
    <row r="7" spans="1:34" ht="15" x14ac:dyDescent="0.35">
      <c r="A7" s="5">
        <v>1998</v>
      </c>
      <c r="B7" s="7">
        <v>8406470.9874999989</v>
      </c>
      <c r="C7" s="7">
        <v>25162915.441666696</v>
      </c>
      <c r="D7" s="7">
        <v>22656529.087500006</v>
      </c>
      <c r="E7" s="7">
        <v>13630976.020833291</v>
      </c>
      <c r="F7" s="7">
        <v>7461708.8583333045</v>
      </c>
      <c r="G7" s="7">
        <v>5146815.4375</v>
      </c>
      <c r="H7" s="7">
        <v>2797277.2708334029</v>
      </c>
      <c r="I7" s="7">
        <v>6615800.1400000006</v>
      </c>
      <c r="J7" s="7">
        <v>5156163.043333292</v>
      </c>
      <c r="K7" s="7">
        <v>576774.49583341181</v>
      </c>
      <c r="L7" s="7">
        <v>446935.65833330154</v>
      </c>
      <c r="M7" s="7">
        <v>-27826.916666701436</v>
      </c>
      <c r="N7" s="7">
        <v>-40111.645833298564</v>
      </c>
      <c r="O7" s="7">
        <v>149157.4958332926</v>
      </c>
      <c r="P7" s="7">
        <v>130596.79999999702</v>
      </c>
      <c r="Q7" s="7">
        <v>48704.716666698456</v>
      </c>
      <c r="R7" s="7">
        <v>23052.266666710377</v>
      </c>
      <c r="S7" s="7">
        <v>50751.291666597128</v>
      </c>
      <c r="T7" s="7">
        <v>227387.77916669846</v>
      </c>
      <c r="U7" s="7">
        <v>58269.058333292603</v>
      </c>
      <c r="V7" s="7">
        <v>240753.6916667074</v>
      </c>
      <c r="W7" s="7">
        <v>155559.54166670144</v>
      </c>
      <c r="X7" s="7">
        <v>116799.22916659713</v>
      </c>
      <c r="Y7" s="7">
        <v>411442.94583339989</v>
      </c>
      <c r="Z7" s="7">
        <v>94765.98749999702</v>
      </c>
      <c r="AA7" s="7">
        <v>391869.40833359957</v>
      </c>
      <c r="AB7" s="8">
        <v>520689.68333300948</v>
      </c>
      <c r="AC7" s="7"/>
      <c r="AD7" s="7"/>
      <c r="AE7" s="7"/>
      <c r="AF7" s="7"/>
      <c r="AG7" s="7"/>
      <c r="AH7" s="7"/>
    </row>
    <row r="8" spans="1:34" ht="15" x14ac:dyDescent="0.35">
      <c r="A8" s="5">
        <v>1999</v>
      </c>
      <c r="B8" s="7">
        <v>9854142.645833334</v>
      </c>
      <c r="C8" s="7">
        <v>23647618.295833372</v>
      </c>
      <c r="D8" s="7">
        <v>24180859.200000003</v>
      </c>
      <c r="E8" s="7">
        <v>14330344.012499996</v>
      </c>
      <c r="F8" s="7">
        <v>7434268.2291665971</v>
      </c>
      <c r="G8" s="7">
        <v>4660789.9375</v>
      </c>
      <c r="H8" s="7">
        <v>8691885.0433334112</v>
      </c>
      <c r="I8" s="7">
        <v>6550047.5899999887</v>
      </c>
      <c r="J8" s="7">
        <v>345095.39166660607</v>
      </c>
      <c r="K8" s="7">
        <v>366237.67083369195</v>
      </c>
      <c r="L8" s="7">
        <v>301319.92916600406</v>
      </c>
      <c r="M8" s="7">
        <v>330908.72916699946</v>
      </c>
      <c r="N8" s="7">
        <v>191183.78333300352</v>
      </c>
      <c r="O8" s="7">
        <v>260247.53749999404</v>
      </c>
      <c r="P8" s="7">
        <v>257508.65416701138</v>
      </c>
      <c r="Q8" s="7">
        <v>51477.354166999459</v>
      </c>
      <c r="R8" s="7">
        <v>95832.479166001081</v>
      </c>
      <c r="S8" s="7">
        <v>204268.4541669935</v>
      </c>
      <c r="T8" s="7">
        <v>-98399.708333000541</v>
      </c>
      <c r="U8" s="7">
        <v>218711.81666600704</v>
      </c>
      <c r="V8" s="7">
        <v>5082.3708339929581</v>
      </c>
      <c r="W8" s="7">
        <v>9971.8833329975605</v>
      </c>
      <c r="X8" s="7">
        <v>189076.72083300352</v>
      </c>
      <c r="Y8" s="7">
        <v>-246687.42499999702</v>
      </c>
      <c r="Z8" s="7">
        <v>149219.02083399892</v>
      </c>
      <c r="AA8" s="8">
        <v>-64571.412500008941</v>
      </c>
      <c r="AB8" s="7"/>
      <c r="AC8" s="7"/>
      <c r="AD8" s="7"/>
      <c r="AE8" s="7"/>
      <c r="AF8" s="7"/>
      <c r="AG8" s="7"/>
      <c r="AH8" s="7"/>
    </row>
    <row r="9" spans="1:34" ht="15" x14ac:dyDescent="0.35">
      <c r="A9" s="5">
        <v>2000</v>
      </c>
      <c r="B9" s="7">
        <v>7989981.5625</v>
      </c>
      <c r="C9" s="7">
        <v>25430738.216666698</v>
      </c>
      <c r="D9" s="7">
        <v>27353233.149999999</v>
      </c>
      <c r="E9" s="7">
        <v>16004588.07500001</v>
      </c>
      <c r="F9" s="7">
        <v>7856434.0666665882</v>
      </c>
      <c r="G9" s="7">
        <v>9498224.049999997</v>
      </c>
      <c r="H9" s="7">
        <v>8513744.4083337039</v>
      </c>
      <c r="I9" s="7">
        <v>550750.8583330065</v>
      </c>
      <c r="J9" s="7">
        <v>647738.6875</v>
      </c>
      <c r="K9" s="7">
        <v>256337.73749999702</v>
      </c>
      <c r="L9" s="7">
        <v>135466.40833300352</v>
      </c>
      <c r="M9" s="7">
        <v>67299.53749999404</v>
      </c>
      <c r="N9" s="7">
        <v>244410.39583399892</v>
      </c>
      <c r="O9" s="7">
        <v>75783.229166001081</v>
      </c>
      <c r="P9" s="7">
        <v>-29457.591665998101</v>
      </c>
      <c r="Q9" s="7">
        <v>33804.416666001081</v>
      </c>
      <c r="R9" s="7">
        <v>159978.69583399594</v>
      </c>
      <c r="S9" s="7">
        <v>-45107.195833995938</v>
      </c>
      <c r="T9" s="7">
        <v>105445.97916699946</v>
      </c>
      <c r="U9" s="7">
        <v>-18603.429167002439</v>
      </c>
      <c r="V9" s="7">
        <v>-43168.691665992141</v>
      </c>
      <c r="W9" s="7">
        <v>84060.445832997561</v>
      </c>
      <c r="X9" s="7">
        <v>-137247.57083299756</v>
      </c>
      <c r="Y9" s="7">
        <v>601.18333299458027</v>
      </c>
      <c r="Z9" s="8">
        <v>-45979.395833000541</v>
      </c>
      <c r="AA9" s="7"/>
      <c r="AB9" s="7"/>
      <c r="AC9" s="7"/>
      <c r="AD9" s="7"/>
      <c r="AE9" s="7"/>
      <c r="AF9" s="7"/>
      <c r="AG9" s="7"/>
      <c r="AH9" s="7"/>
    </row>
    <row r="10" spans="1:34" ht="15" x14ac:dyDescent="0.35">
      <c r="A10" s="5">
        <v>2001</v>
      </c>
      <c r="B10" s="7">
        <v>9140247.9958333336</v>
      </c>
      <c r="C10" s="7">
        <v>28191547.466666669</v>
      </c>
      <c r="D10" s="7">
        <v>27378808.820833303</v>
      </c>
      <c r="E10" s="7">
        <v>13806114.954166695</v>
      </c>
      <c r="F10" s="7">
        <v>10199190.474166706</v>
      </c>
      <c r="G10" s="7">
        <v>8945031.3424998969</v>
      </c>
      <c r="H10" s="7">
        <v>1574128.6541666985</v>
      </c>
      <c r="I10" s="7">
        <v>721664.59583330154</v>
      </c>
      <c r="J10" s="7">
        <v>541866.90833340585</v>
      </c>
      <c r="K10" s="7">
        <v>326702.45833300054</v>
      </c>
      <c r="L10" s="7">
        <v>45706.329166993499</v>
      </c>
      <c r="M10" s="7">
        <v>376055.52916699648</v>
      </c>
      <c r="N10" s="7">
        <v>365626.35416600108</v>
      </c>
      <c r="O10" s="7">
        <v>42859.0166670084</v>
      </c>
      <c r="P10" s="7">
        <v>-97768.9375</v>
      </c>
      <c r="Q10" s="7">
        <v>294195.0791669935</v>
      </c>
      <c r="R10" s="7">
        <v>333312.38333299756</v>
      </c>
      <c r="S10" s="7">
        <v>-140426.28333300352</v>
      </c>
      <c r="T10" s="7">
        <v>-185007.25</v>
      </c>
      <c r="U10" s="7">
        <v>222077.341666013</v>
      </c>
      <c r="V10" s="7">
        <v>-16202.220833003521</v>
      </c>
      <c r="W10" s="7">
        <v>-51879.770833000541</v>
      </c>
      <c r="X10" s="7">
        <v>68821.066665992141</v>
      </c>
      <c r="Y10" s="8">
        <v>76698.56666700542</v>
      </c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5" x14ac:dyDescent="0.35">
      <c r="A11" s="5">
        <v>2002</v>
      </c>
      <c r="B11" s="7">
        <v>8982265.8041666672</v>
      </c>
      <c r="C11" s="7">
        <v>26024944.675000031</v>
      </c>
      <c r="D11" s="7">
        <v>22597901.1166666</v>
      </c>
      <c r="E11" s="7">
        <v>18430603.145833403</v>
      </c>
      <c r="F11" s="7">
        <v>14520185.91249989</v>
      </c>
      <c r="G11" s="7">
        <v>3942765.6791667044</v>
      </c>
      <c r="H11" s="7">
        <v>1548771.0916666985</v>
      </c>
      <c r="I11" s="7">
        <v>1253550.2958333045</v>
      </c>
      <c r="J11" s="7">
        <v>1390959.7666666955</v>
      </c>
      <c r="K11" s="7">
        <v>384274.54999999702</v>
      </c>
      <c r="L11" s="7">
        <v>204187.92500001192</v>
      </c>
      <c r="M11" s="7">
        <v>144700.83333329856</v>
      </c>
      <c r="N11" s="7">
        <v>-199751.96666660905</v>
      </c>
      <c r="O11" s="7">
        <v>94328.26250000298</v>
      </c>
      <c r="P11" s="7">
        <v>146297.99999989569</v>
      </c>
      <c r="Q11" s="7">
        <v>64499.758333399892</v>
      </c>
      <c r="R11" s="7">
        <v>-51463.370833396912</v>
      </c>
      <c r="S11" s="7">
        <v>339122.3125</v>
      </c>
      <c r="T11" s="7">
        <v>97413.291666701436</v>
      </c>
      <c r="U11" s="7">
        <v>330723.42916670442</v>
      </c>
      <c r="V11" s="7">
        <v>246303.95833300054</v>
      </c>
      <c r="W11" s="7">
        <v>-146752.03750000894</v>
      </c>
      <c r="X11" s="8">
        <v>-15382.416666001081</v>
      </c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5" x14ac:dyDescent="0.35">
      <c r="A12" s="5">
        <v>2003</v>
      </c>
      <c r="B12" s="7">
        <v>9310300.7583333347</v>
      </c>
      <c r="C12" s="7">
        <v>27678380.787499957</v>
      </c>
      <c r="D12" s="7">
        <v>29991243.956666701</v>
      </c>
      <c r="E12" s="7">
        <v>28606759.422499999</v>
      </c>
      <c r="F12" s="7">
        <v>7488319.450000003</v>
      </c>
      <c r="G12" s="7">
        <v>4140754.987499997</v>
      </c>
      <c r="H12" s="7">
        <v>2162205.2333330065</v>
      </c>
      <c r="I12" s="7">
        <v>1792781.5874999911</v>
      </c>
      <c r="J12" s="7">
        <v>853219.875</v>
      </c>
      <c r="K12" s="7">
        <v>538623.20833399892</v>
      </c>
      <c r="L12" s="7">
        <v>5334.6416660100222</v>
      </c>
      <c r="M12" s="7">
        <v>-20554.341665998101</v>
      </c>
      <c r="N12" s="7">
        <v>-216292.6875</v>
      </c>
      <c r="O12" s="7">
        <v>290401.28333298862</v>
      </c>
      <c r="P12" s="7">
        <v>121901.9375</v>
      </c>
      <c r="Q12" s="7">
        <v>300975.96250000596</v>
      </c>
      <c r="R12" s="7">
        <v>418184.05416700244</v>
      </c>
      <c r="S12" s="7">
        <v>56560.91249999404</v>
      </c>
      <c r="T12" s="7">
        <v>645350.39583300054</v>
      </c>
      <c r="U12" s="7">
        <v>-41861.57500000298</v>
      </c>
      <c r="V12" s="7">
        <v>252788.7333330065</v>
      </c>
      <c r="W12" s="8">
        <v>-26518.633332997561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5" x14ac:dyDescent="0.35">
      <c r="A13" s="5">
        <v>2004</v>
      </c>
      <c r="B13" s="7">
        <v>9772040.8750000019</v>
      </c>
      <c r="C13" s="7">
        <v>24428531.947499998</v>
      </c>
      <c r="D13" s="7">
        <v>29186166.744166702</v>
      </c>
      <c r="E13" s="7">
        <v>12339173.475000001</v>
      </c>
      <c r="F13" s="7">
        <v>6295390.5416665971</v>
      </c>
      <c r="G13" s="7">
        <v>3499832.3541667014</v>
      </c>
      <c r="H13" s="7">
        <v>1765530.2708332986</v>
      </c>
      <c r="I13" s="7">
        <v>2222932.5166666955</v>
      </c>
      <c r="J13" s="7">
        <v>845441.14583329856</v>
      </c>
      <c r="K13" s="7">
        <v>1061503.9833334088</v>
      </c>
      <c r="L13" s="7">
        <v>-42596.391666695476</v>
      </c>
      <c r="M13" s="7">
        <v>104790.86666668952</v>
      </c>
      <c r="N13" s="7">
        <v>423100.60416659713</v>
      </c>
      <c r="O13" s="7">
        <v>989733.3125</v>
      </c>
      <c r="P13" s="7">
        <v>-224892.80416658521</v>
      </c>
      <c r="Q13" s="7">
        <v>-39029.0625</v>
      </c>
      <c r="R13" s="7">
        <v>175268.17916658521</v>
      </c>
      <c r="S13" s="7">
        <v>-56569</v>
      </c>
      <c r="T13" s="7">
        <v>-241677.29166659713</v>
      </c>
      <c r="U13" s="7">
        <v>-62727.504166692495</v>
      </c>
      <c r="V13" s="8">
        <v>582711.3791666925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5" x14ac:dyDescent="0.35">
      <c r="A14" s="5">
        <v>2005</v>
      </c>
      <c r="B14" s="7">
        <v>7680670.4825000018</v>
      </c>
      <c r="C14" s="7">
        <v>28445937.821666695</v>
      </c>
      <c r="D14" s="7">
        <v>20063968.124999903</v>
      </c>
      <c r="E14" s="7">
        <v>12461958.491666704</v>
      </c>
      <c r="F14" s="7">
        <v>5697469.2124999911</v>
      </c>
      <c r="G14" s="7">
        <v>2991454.7791666985</v>
      </c>
      <c r="H14" s="7">
        <v>1286812.775000006</v>
      </c>
      <c r="I14" s="7">
        <v>732222.49166660011</v>
      </c>
      <c r="J14" s="7">
        <v>897877.91250009835</v>
      </c>
      <c r="K14" s="7">
        <v>1957395.8874998987</v>
      </c>
      <c r="L14" s="7">
        <v>739731.41666670144</v>
      </c>
      <c r="M14" s="7">
        <v>-432290.29999999702</v>
      </c>
      <c r="N14" s="7">
        <v>5207.3499999940395</v>
      </c>
      <c r="O14" s="7">
        <v>83630.841666698456</v>
      </c>
      <c r="P14" s="7">
        <v>-82847.554166689515</v>
      </c>
      <c r="Q14" s="7">
        <v>130200.35833339393</v>
      </c>
      <c r="R14" s="7">
        <v>395892.26250000298</v>
      </c>
      <c r="S14" s="7">
        <v>206535.9333332926</v>
      </c>
      <c r="T14" s="7">
        <v>47990.470833301544</v>
      </c>
      <c r="U14" s="8">
        <v>-123572.6875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5" x14ac:dyDescent="0.35">
      <c r="A15" s="5">
        <v>2006</v>
      </c>
      <c r="B15" s="7">
        <v>9666714.6749999989</v>
      </c>
      <c r="C15" s="7">
        <v>20779604.349999998</v>
      </c>
      <c r="D15" s="7">
        <v>16833861.662500001</v>
      </c>
      <c r="E15" s="7">
        <v>8384549.9333333001</v>
      </c>
      <c r="F15" s="7">
        <v>5300623.0458334014</v>
      </c>
      <c r="G15" s="7">
        <v>2422408.299999997</v>
      </c>
      <c r="H15" s="7">
        <v>1958369.8583333045</v>
      </c>
      <c r="I15" s="7">
        <v>1506040.162499994</v>
      </c>
      <c r="J15" s="7">
        <v>626925.35416670144</v>
      </c>
      <c r="K15" s="7">
        <v>270309.5625</v>
      </c>
      <c r="L15" s="7">
        <v>233347.14583329856</v>
      </c>
      <c r="M15" s="7">
        <v>325478.0666667074</v>
      </c>
      <c r="N15" s="7">
        <v>493737.39166659117</v>
      </c>
      <c r="O15" s="7">
        <v>396344.84583340585</v>
      </c>
      <c r="P15" s="7">
        <v>-53729.07500000298</v>
      </c>
      <c r="Q15" s="7">
        <v>926950.92499999702</v>
      </c>
      <c r="R15" s="7">
        <v>141695.4958333075</v>
      </c>
      <c r="S15" s="7">
        <v>41155.658333301544</v>
      </c>
      <c r="T15" s="8">
        <v>325638.29999999702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" x14ac:dyDescent="0.35">
      <c r="A16" s="5">
        <v>2007</v>
      </c>
      <c r="B16" s="7">
        <v>7688889.9833333343</v>
      </c>
      <c r="C16" s="7">
        <v>20708994.462499969</v>
      </c>
      <c r="D16" s="7">
        <v>17603674.891666699</v>
      </c>
      <c r="E16" s="7">
        <v>10843444.020833299</v>
      </c>
      <c r="F16" s="7">
        <v>4216276.8791666999</v>
      </c>
      <c r="G16" s="7">
        <v>3542110.4541667029</v>
      </c>
      <c r="H16" s="7">
        <v>1656106.9333333001</v>
      </c>
      <c r="I16" s="7">
        <v>774565.26250000298</v>
      </c>
      <c r="J16" s="7">
        <v>432199.09583330154</v>
      </c>
      <c r="K16" s="7">
        <v>466169.46249999106</v>
      </c>
      <c r="L16" s="7">
        <v>1549714.9166667014</v>
      </c>
      <c r="M16" s="7">
        <v>-147514.84166669846</v>
      </c>
      <c r="N16" s="7">
        <v>-150608.45000000298</v>
      </c>
      <c r="O16" s="7">
        <v>-549666.15416659415</v>
      </c>
      <c r="P16" s="7">
        <v>298298.75833329558</v>
      </c>
      <c r="Q16" s="7">
        <v>247419.375</v>
      </c>
      <c r="R16" s="7">
        <v>-129572.125</v>
      </c>
      <c r="S16" s="8">
        <v>-4100.6791667044163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5" x14ac:dyDescent="0.35">
      <c r="A17" s="5">
        <v>2008</v>
      </c>
      <c r="B17" s="7">
        <v>7564842.9916666672</v>
      </c>
      <c r="C17" s="7">
        <v>23400466.820833329</v>
      </c>
      <c r="D17" s="7">
        <v>17629411.408333302</v>
      </c>
      <c r="E17" s="7">
        <v>8996138.1583333984</v>
      </c>
      <c r="F17" s="7">
        <v>4836952.6083332971</v>
      </c>
      <c r="G17" s="7">
        <v>3474348.7458333001</v>
      </c>
      <c r="H17" s="7">
        <v>828026.70000000298</v>
      </c>
      <c r="I17" s="7">
        <v>525425.11666669697</v>
      </c>
      <c r="J17" s="7">
        <v>669720.15000000596</v>
      </c>
      <c r="K17" s="7">
        <v>892086.8791666925</v>
      </c>
      <c r="L17" s="7">
        <v>-383045.15416669846</v>
      </c>
      <c r="M17" s="7">
        <v>-113983.39999999106</v>
      </c>
      <c r="N17" s="7">
        <v>-80803.620833307505</v>
      </c>
      <c r="O17" s="7">
        <v>539839.42916660011</v>
      </c>
      <c r="P17" s="7">
        <v>24638.916666701436</v>
      </c>
      <c r="Q17" s="7">
        <v>-7980.4208333045244</v>
      </c>
      <c r="R17" s="8">
        <v>446934.67083330452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5" x14ac:dyDescent="0.35">
      <c r="A18" s="5">
        <v>2009</v>
      </c>
      <c r="B18" s="7">
        <v>9998209.020833334</v>
      </c>
      <c r="C18" s="7">
        <v>28411911.337499969</v>
      </c>
      <c r="D18" s="7">
        <v>21523247.583333403</v>
      </c>
      <c r="E18" s="7">
        <v>13287422.779166706</v>
      </c>
      <c r="F18" s="7">
        <v>7413585.7083332986</v>
      </c>
      <c r="G18" s="7">
        <v>1715798.6208332926</v>
      </c>
      <c r="H18" s="7">
        <v>1542409.4375</v>
      </c>
      <c r="I18" s="7">
        <v>1397238.5833334029</v>
      </c>
      <c r="J18" s="7">
        <v>812170.11666660011</v>
      </c>
      <c r="K18" s="7">
        <v>1015992.2583332956</v>
      </c>
      <c r="L18" s="7">
        <v>204873.18750010431</v>
      </c>
      <c r="M18" s="7">
        <v>152410.25833329558</v>
      </c>
      <c r="N18" s="7">
        <v>704068.95000000298</v>
      </c>
      <c r="O18" s="7">
        <v>733565.875</v>
      </c>
      <c r="P18" s="7">
        <v>152298.47083330154</v>
      </c>
      <c r="Q18" s="8">
        <v>451281.89166669548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5" x14ac:dyDescent="0.35">
      <c r="A19" s="5">
        <v>2010</v>
      </c>
      <c r="B19" s="7">
        <v>9194446.9375</v>
      </c>
      <c r="C19" s="7">
        <v>26272503.645833299</v>
      </c>
      <c r="D19" s="7">
        <v>24588337.8125</v>
      </c>
      <c r="E19" s="7">
        <v>17120929.370833397</v>
      </c>
      <c r="F19" s="7">
        <v>4159699.2250000089</v>
      </c>
      <c r="G19" s="7">
        <v>2503456.3041666001</v>
      </c>
      <c r="H19" s="7">
        <v>2251796.3708333969</v>
      </c>
      <c r="I19" s="7">
        <v>2462202.8541665971</v>
      </c>
      <c r="J19" s="7">
        <v>215662.35416670144</v>
      </c>
      <c r="K19" s="7">
        <v>817636.52916669846</v>
      </c>
      <c r="L19" s="7">
        <v>895830.64583329856</v>
      </c>
      <c r="M19" s="7">
        <v>344419.4958333075</v>
      </c>
      <c r="N19" s="7">
        <v>667794.21249999106</v>
      </c>
      <c r="O19" s="7">
        <v>248014.17916670442</v>
      </c>
      <c r="P19" s="8">
        <v>330883.91249999404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5" x14ac:dyDescent="0.35">
      <c r="A20" s="5">
        <v>2011</v>
      </c>
      <c r="B20" s="7">
        <v>10541903.025</v>
      </c>
      <c r="C20" s="7">
        <v>27712873.270833403</v>
      </c>
      <c r="D20" s="7">
        <v>21686762.654166698</v>
      </c>
      <c r="E20" s="7">
        <v>6281914.7166666016</v>
      </c>
      <c r="F20" s="7">
        <v>4003301.037499994</v>
      </c>
      <c r="G20" s="7">
        <v>3652039.9916667044</v>
      </c>
      <c r="H20" s="7">
        <v>3260612.887500003</v>
      </c>
      <c r="I20" s="7">
        <v>2281444.75</v>
      </c>
      <c r="J20" s="7">
        <v>783796.15416669846</v>
      </c>
      <c r="K20" s="7">
        <v>349656.91666659713</v>
      </c>
      <c r="L20" s="7">
        <v>306881.35000000894</v>
      </c>
      <c r="M20" s="7">
        <v>420885.28749999404</v>
      </c>
      <c r="N20" s="7">
        <v>726373.73333339393</v>
      </c>
      <c r="O20" s="8">
        <v>466982.77083329856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5" x14ac:dyDescent="0.35">
      <c r="A21" s="5">
        <v>2012</v>
      </c>
      <c r="B21" s="7">
        <v>9955042.0458333362</v>
      </c>
      <c r="C21" s="7">
        <v>24322781.487500057</v>
      </c>
      <c r="D21" s="7">
        <v>12378620.850000001</v>
      </c>
      <c r="E21" s="7">
        <v>29707249.234766603</v>
      </c>
      <c r="F21" s="7">
        <v>10432349.9375</v>
      </c>
      <c r="G21" s="7">
        <v>4911782.1666667014</v>
      </c>
      <c r="H21" s="7">
        <v>1783849.8916666955</v>
      </c>
      <c r="I21" s="7">
        <v>963654.52500000596</v>
      </c>
      <c r="J21" s="7">
        <v>826237.04166659713</v>
      </c>
      <c r="K21" s="7">
        <v>50225.5625</v>
      </c>
      <c r="L21" s="7">
        <v>283227.22916670144</v>
      </c>
      <c r="M21" s="7">
        <v>2175005.3708332926</v>
      </c>
      <c r="N21" s="8">
        <v>357797.41666670144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5" x14ac:dyDescent="0.35">
      <c r="A22" s="5">
        <v>2013</v>
      </c>
      <c r="B22" s="7">
        <v>8945263.9208333362</v>
      </c>
      <c r="C22" s="7">
        <v>17197109.404166661</v>
      </c>
      <c r="D22" s="7">
        <v>27285960.170833301</v>
      </c>
      <c r="E22" s="7">
        <v>12752291.245833397</v>
      </c>
      <c r="F22" s="7">
        <v>7489523.3791665956</v>
      </c>
      <c r="G22" s="7">
        <v>4415827.6541667134</v>
      </c>
      <c r="H22" s="7">
        <v>2975218.237499997</v>
      </c>
      <c r="I22" s="7">
        <v>784511.19166660309</v>
      </c>
      <c r="J22" s="7">
        <v>1356394.4250001013</v>
      </c>
      <c r="K22" s="7">
        <v>1672257.6708332896</v>
      </c>
      <c r="L22" s="7">
        <v>898278.23333330452</v>
      </c>
      <c r="M22" s="8">
        <v>1203818.1541666985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5" x14ac:dyDescent="0.35">
      <c r="A23" s="5">
        <v>2014</v>
      </c>
      <c r="B23" s="7">
        <v>9053483.0916666687</v>
      </c>
      <c r="C23" s="7">
        <v>24794406.675000034</v>
      </c>
      <c r="D23" s="7">
        <v>24216597.458333299</v>
      </c>
      <c r="E23" s="7">
        <v>14502747.912500001</v>
      </c>
      <c r="F23" s="7">
        <v>7145941.7958332896</v>
      </c>
      <c r="G23" s="7">
        <v>4282642.8791667074</v>
      </c>
      <c r="H23" s="7">
        <v>1393804.674999997</v>
      </c>
      <c r="I23" s="7">
        <v>666135.53333330154</v>
      </c>
      <c r="J23" s="7">
        <v>1080522.2666666955</v>
      </c>
      <c r="K23" s="7">
        <v>1678098.450000003</v>
      </c>
      <c r="L23" s="8">
        <v>848808.74166670442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5" x14ac:dyDescent="0.35">
      <c r="A24" s="5">
        <v>2015</v>
      </c>
      <c r="B24" s="7">
        <v>11511440.029166674</v>
      </c>
      <c r="C24" s="7">
        <v>25072765.5</v>
      </c>
      <c r="D24" s="7">
        <v>20379203.970833302</v>
      </c>
      <c r="E24" s="7">
        <v>12306252.154166698</v>
      </c>
      <c r="F24" s="7">
        <v>6387066.762500003</v>
      </c>
      <c r="G24" s="7">
        <v>3593817.0708332956</v>
      </c>
      <c r="H24" s="7">
        <v>4771861.8916667104</v>
      </c>
      <c r="I24" s="7">
        <v>2915740.0249999911</v>
      </c>
      <c r="J24" s="7">
        <v>1876000.5458333045</v>
      </c>
      <c r="K24" s="8">
        <v>679369.51250000298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5" x14ac:dyDescent="0.35">
      <c r="A25" s="5">
        <v>2016</v>
      </c>
      <c r="B25" s="7">
        <v>13027666.350000011</v>
      </c>
      <c r="C25" s="7">
        <v>29309802.495833397</v>
      </c>
      <c r="D25" s="7">
        <v>19378282.462499902</v>
      </c>
      <c r="E25" s="7">
        <v>10611613.399999999</v>
      </c>
      <c r="F25" s="7">
        <v>4551874.2416667044</v>
      </c>
      <c r="G25" s="7">
        <v>3908034.5</v>
      </c>
      <c r="H25" s="7">
        <v>6938940.3125</v>
      </c>
      <c r="I25" s="7">
        <v>2849511.075000003</v>
      </c>
      <c r="J25" s="8">
        <v>1727473.6333332956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5" x14ac:dyDescent="0.35">
      <c r="A26" s="5">
        <v>2017</v>
      </c>
      <c r="B26" s="7">
        <v>16518055.287500009</v>
      </c>
      <c r="C26" s="7">
        <v>30180407.858333297</v>
      </c>
      <c r="D26" s="7">
        <v>17297931.208333403</v>
      </c>
      <c r="E26" s="7">
        <v>8195745.075000003</v>
      </c>
      <c r="F26" s="7">
        <v>6244230.4458332956</v>
      </c>
      <c r="G26" s="7">
        <v>6315628.7916667014</v>
      </c>
      <c r="H26" s="7">
        <v>2629818.4958332926</v>
      </c>
      <c r="I26" s="8">
        <v>2866867.1458334029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5" x14ac:dyDescent="0.35">
      <c r="A27" s="5">
        <v>2018</v>
      </c>
      <c r="B27" s="7">
        <v>16902139.808333337</v>
      </c>
      <c r="C27" s="7">
        <v>35699050.625000097</v>
      </c>
      <c r="D27" s="7">
        <v>16018410.625</v>
      </c>
      <c r="E27" s="7">
        <v>13252527.4375</v>
      </c>
      <c r="F27" s="7">
        <v>8562575.887500003</v>
      </c>
      <c r="G27" s="7">
        <v>4793899.6833333075</v>
      </c>
      <c r="H27" s="8">
        <v>3353036.3999999911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5" x14ac:dyDescent="0.35">
      <c r="A28" s="5">
        <v>2019</v>
      </c>
      <c r="B28" s="7">
        <v>17923705.070833333</v>
      </c>
      <c r="C28" s="7">
        <v>28298054.904166702</v>
      </c>
      <c r="D28" s="7">
        <v>22832122.4416667</v>
      </c>
      <c r="E28" s="7">
        <v>16018252.120833293</v>
      </c>
      <c r="F28" s="7">
        <v>13534166.112500012</v>
      </c>
      <c r="G28" s="8">
        <v>5846912.2916669995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5" x14ac:dyDescent="0.35">
      <c r="A29" s="5">
        <v>2020</v>
      </c>
      <c r="B29" s="7">
        <v>12157089.591666671</v>
      </c>
      <c r="C29" s="7">
        <v>25872018.8125</v>
      </c>
      <c r="D29" s="7">
        <v>17720965.075000003</v>
      </c>
      <c r="E29" s="7">
        <v>10839333.466666602</v>
      </c>
      <c r="F29" s="8">
        <v>8201308.741666697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5" x14ac:dyDescent="0.35">
      <c r="A30" s="5">
        <v>2021</v>
      </c>
      <c r="B30" s="7">
        <v>15171797.887499999</v>
      </c>
      <c r="C30" s="7">
        <v>34303619.041666701</v>
      </c>
      <c r="D30" s="7">
        <v>18102461.845833309</v>
      </c>
      <c r="E30" s="8">
        <v>11487152.899999991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5" x14ac:dyDescent="0.35">
      <c r="A31" s="5">
        <v>2022</v>
      </c>
      <c r="B31" s="7">
        <v>20467424.095833328</v>
      </c>
      <c r="C31" s="7">
        <v>42434512.408333398</v>
      </c>
      <c r="D31" s="8">
        <v>25936573.066666596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5" x14ac:dyDescent="0.35">
      <c r="A32" s="5">
        <v>2023</v>
      </c>
      <c r="B32" s="7">
        <v>22938942.387499992</v>
      </c>
      <c r="C32" s="8">
        <v>41675590.591666698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5" x14ac:dyDescent="0.35">
      <c r="A33" s="5">
        <v>2024</v>
      </c>
      <c r="B33" s="8">
        <v>23071016.679166667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3">
      <c r="A34" s="6"/>
      <c r="B34" s="6">
        <v>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0</v>
      </c>
      <c r="AF34" s="6">
        <v>0</v>
      </c>
      <c r="AG34" s="6">
        <v>0</v>
      </c>
      <c r="AH34" s="6"/>
    </row>
    <row r="35" spans="1:34" x14ac:dyDescent="0.3">
      <c r="A35" s="6"/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9">
        <v>0</v>
      </c>
      <c r="O35" s="9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F326-9CFA-481D-82E9-44CD403C7C67}">
  <dimension ref="B1:D34"/>
  <sheetViews>
    <sheetView workbookViewId="0">
      <selection activeCell="D35" sqref="D35"/>
    </sheetView>
  </sheetViews>
  <sheetFormatPr defaultRowHeight="14.4" x14ac:dyDescent="0.3"/>
  <cols>
    <col min="2" max="2" width="8.77734375" customWidth="1"/>
    <col min="3" max="3" width="18.33203125" customWidth="1"/>
    <col min="4" max="4" width="17" style="36" customWidth="1"/>
  </cols>
  <sheetData>
    <row r="1" spans="2:4" x14ac:dyDescent="0.3">
      <c r="B1" s="10" t="s">
        <v>33</v>
      </c>
      <c r="C1" s="10" t="s">
        <v>34</v>
      </c>
      <c r="D1" s="35" t="s">
        <v>35</v>
      </c>
    </row>
    <row r="2" spans="2:4" x14ac:dyDescent="0.3">
      <c r="B2" s="11">
        <v>0</v>
      </c>
      <c r="C2" s="12">
        <v>6185001.3499999996</v>
      </c>
      <c r="D2" s="12">
        <f>SUM('Triangle Imcremente'!B2:B33)</f>
        <v>365046462.87833345</v>
      </c>
    </row>
    <row r="3" spans="2:4" x14ac:dyDescent="0.3">
      <c r="B3" s="11">
        <v>1</v>
      </c>
      <c r="C3" s="12">
        <v>24925121.266666673</v>
      </c>
      <c r="D3" s="12">
        <f>SUM('Triangle Imcremente'!C2:C32)</f>
        <v>805619890.22333395</v>
      </c>
    </row>
    <row r="4" spans="2:4" x14ac:dyDescent="0.3">
      <c r="B4" s="11">
        <v>2</v>
      </c>
      <c r="C4" s="12">
        <v>42432024.904166602</v>
      </c>
      <c r="D4" s="12">
        <f>SUM('Triangle Imcremente'!D2:D31)</f>
        <v>631165995.84666657</v>
      </c>
    </row>
    <row r="5" spans="2:4" x14ac:dyDescent="0.3">
      <c r="B5" s="11">
        <v>3</v>
      </c>
      <c r="C5" s="12">
        <v>44226813.720833331</v>
      </c>
      <c r="D5" s="12">
        <f>SUM('Triangle Imcremente'!E2:E30)</f>
        <v>391277271.3239333</v>
      </c>
    </row>
    <row r="6" spans="2:4" x14ac:dyDescent="0.3">
      <c r="B6" s="11">
        <v>4</v>
      </c>
      <c r="C6" s="12">
        <v>60044117.69166667</v>
      </c>
      <c r="D6" s="12">
        <f>SUM('Triangle Imcremente'!F2:F29)</f>
        <v>201358806.84499976</v>
      </c>
    </row>
    <row r="7" spans="2:4" x14ac:dyDescent="0.3">
      <c r="B7" s="11">
        <v>5</v>
      </c>
      <c r="C7" s="12">
        <v>67306890.462500021</v>
      </c>
      <c r="D7" s="12">
        <f>SUM('Triangle Imcremente'!G2:G28)</f>
        <v>115887820.8925003</v>
      </c>
    </row>
    <row r="8" spans="2:4" x14ac:dyDescent="0.3">
      <c r="B8" s="11">
        <v>6</v>
      </c>
      <c r="C8" s="12">
        <v>86340048.995833427</v>
      </c>
      <c r="D8" s="12">
        <f>SUM('Triangle Imcremente'!H2:H27)</f>
        <v>75191461.214167029</v>
      </c>
    </row>
    <row r="9" spans="2:4" x14ac:dyDescent="0.3">
      <c r="B9" s="11">
        <v>7</v>
      </c>
      <c r="C9" s="12">
        <v>81321693.537500083</v>
      </c>
      <c r="D9" s="12">
        <f>SUM('Triangle Imcremente'!I2:I26)</f>
        <v>47250866.8716662</v>
      </c>
    </row>
    <row r="10" spans="2:4" x14ac:dyDescent="0.3">
      <c r="B10" s="11">
        <v>8</v>
      </c>
      <c r="C10" s="12">
        <v>86643715.449999899</v>
      </c>
      <c r="D10" s="12">
        <f>SUM('Triangle Imcremente'!J2:J25)</f>
        <v>31426904.438333303</v>
      </c>
    </row>
    <row r="11" spans="2:4" x14ac:dyDescent="0.3">
      <c r="B11" s="11">
        <v>9</v>
      </c>
      <c r="C11" s="12">
        <v>94737179.574999928</v>
      </c>
      <c r="D11" s="12">
        <f>SUM('Triangle Imcremente'!K2:K24)</f>
        <v>24320132.746667355</v>
      </c>
    </row>
    <row r="12" spans="2:4" x14ac:dyDescent="0.3">
      <c r="B12" s="11">
        <v>10</v>
      </c>
      <c r="C12" s="12">
        <v>97930783.3666666</v>
      </c>
      <c r="D12" s="12">
        <f>SUM('Triangle Imcremente'!L2:L23)</f>
        <v>16570807.187498763</v>
      </c>
    </row>
    <row r="13" spans="2:4" x14ac:dyDescent="0.3">
      <c r="B13" s="11">
        <v>11</v>
      </c>
      <c r="C13" s="12">
        <v>92505086.125000149</v>
      </c>
      <c r="D13" s="12">
        <f>SUM('Triangle Imcremente'!M2:M22)</f>
        <v>13680183.076667979</v>
      </c>
    </row>
    <row r="14" spans="2:4" x14ac:dyDescent="0.3">
      <c r="B14" s="11">
        <v>12</v>
      </c>
      <c r="C14" s="12">
        <v>141003487.80083349</v>
      </c>
      <c r="D14" s="12">
        <f>SUM('Triangle Imcremente'!N2:N21)</f>
        <v>10114639.729166262</v>
      </c>
    </row>
    <row r="15" spans="2:4" x14ac:dyDescent="0.3">
      <c r="B15" s="11">
        <v>13</v>
      </c>
      <c r="C15" s="12">
        <v>156510442.35333335</v>
      </c>
      <c r="D15" s="12">
        <f>SUM('Triangle Imcremente'!O2:O20)</f>
        <v>6752372.110832803</v>
      </c>
    </row>
    <row r="16" spans="2:4" x14ac:dyDescent="0.3">
      <c r="B16" s="11">
        <v>14</v>
      </c>
      <c r="C16" s="12">
        <v>77363990.116666377</v>
      </c>
      <c r="D16" s="12">
        <f>SUM('Triangle Imcremente'!P2:P19)</f>
        <v>1824899.8208343014</v>
      </c>
    </row>
    <row r="17" spans="2:4" x14ac:dyDescent="0.3">
      <c r="B17" s="11">
        <v>15</v>
      </c>
      <c r="C17" s="12">
        <v>72930330.858333737</v>
      </c>
      <c r="D17" s="12">
        <f>SUM('Triangle Imcremente'!Q2:Q18)</f>
        <v>3357686.5166668072</v>
      </c>
    </row>
    <row r="18" spans="2:4" x14ac:dyDescent="0.3">
      <c r="B18" s="11">
        <v>16</v>
      </c>
      <c r="C18" s="12">
        <v>73571830.13749887</v>
      </c>
      <c r="D18" s="12">
        <f>SUM('Triangle Imcremente'!R2:R17)</f>
        <v>2087705.9333333224</v>
      </c>
    </row>
    <row r="19" spans="2:4" x14ac:dyDescent="0.3">
      <c r="B19" s="11">
        <v>17</v>
      </c>
      <c r="C19" s="12">
        <v>80205176.712499768</v>
      </c>
      <c r="D19" s="12">
        <f>SUM('Triangle Imcremente'!S2:S16)</f>
        <v>1185471.2249997631</v>
      </c>
    </row>
    <row r="20" spans="2:4" x14ac:dyDescent="0.3">
      <c r="B20" s="11">
        <v>18</v>
      </c>
      <c r="C20" s="12">
        <v>79382402.375000179</v>
      </c>
      <c r="D20" s="12">
        <f>SUM('Triangle Imcremente'!T2:T15)</f>
        <v>916547.88333368301</v>
      </c>
    </row>
    <row r="21" spans="2:4" x14ac:dyDescent="0.3">
      <c r="B21" s="11">
        <v>19</v>
      </c>
      <c r="C21" s="12">
        <v>89935368.370835051</v>
      </c>
      <c r="D21" s="12">
        <f>SUM('Triangle Imcremente'!U2:U14)</f>
        <v>211472.74166502804</v>
      </c>
    </row>
    <row r="22" spans="2:4" x14ac:dyDescent="0.3">
      <c r="B22" s="11">
        <v>20</v>
      </c>
      <c r="C22" s="12">
        <v>89158953.766665116</v>
      </c>
      <c r="D22" s="12">
        <f>SUM('Triangle Imcremente'!V2:V13)</f>
        <v>1548916.4291678071</v>
      </c>
    </row>
    <row r="23" spans="2:4" x14ac:dyDescent="0.3">
      <c r="B23" s="11">
        <v>21</v>
      </c>
      <c r="C23" s="12">
        <v>54825466.95416864</v>
      </c>
      <c r="D23" s="12">
        <f>SUM('Triangle Imcremente'!W2:W12)</f>
        <v>487936.79583328962</v>
      </c>
    </row>
    <row r="24" spans="2:4" x14ac:dyDescent="0.3">
      <c r="B24" s="11">
        <v>22</v>
      </c>
      <c r="C24" s="12">
        <v>103208454.26809841</v>
      </c>
      <c r="D24" s="12">
        <f>SUM('Triangle Imcremente'!X2:X11)</f>
        <v>779549.91249989718</v>
      </c>
    </row>
    <row r="25" spans="2:4" x14ac:dyDescent="0.3">
      <c r="B25" s="11">
        <v>23</v>
      </c>
      <c r="C25" s="12">
        <v>95686621.375001177</v>
      </c>
      <c r="D25" s="12">
        <f>SUM('Triangle Imcremente'!Y2:Y10)</f>
        <v>383628.8708333075</v>
      </c>
    </row>
    <row r="26" spans="2:4" x14ac:dyDescent="0.3">
      <c r="B26" s="11">
        <v>24</v>
      </c>
      <c r="C26" s="12">
        <v>104116861.60833257</v>
      </c>
      <c r="D26" s="12">
        <f>SUM('Triangle Imcremente'!Z2:Z9)</f>
        <v>692727.79166778922</v>
      </c>
    </row>
    <row r="27" spans="2:4" x14ac:dyDescent="0.3">
      <c r="B27" s="11">
        <v>25</v>
      </c>
      <c r="C27" s="12">
        <v>97079910.19999972</v>
      </c>
      <c r="D27" s="12">
        <f>SUM('Triangle Imcremente'!AA2:AA8)</f>
        <v>945401.52083358914</v>
      </c>
    </row>
    <row r="28" spans="2:4" x14ac:dyDescent="0.3">
      <c r="B28" s="11">
        <v>26</v>
      </c>
      <c r="C28" s="12">
        <v>99151085.829167813</v>
      </c>
      <c r="D28" s="12">
        <f>SUM('Triangle Imcremente'!AB2:AB7)</f>
        <v>1089196.6541664153</v>
      </c>
    </row>
    <row r="29" spans="2:4" x14ac:dyDescent="0.3">
      <c r="B29" s="11">
        <v>27</v>
      </c>
      <c r="C29" s="12">
        <v>77812622.137499601</v>
      </c>
      <c r="D29" s="12">
        <f>SUM('Triangle Imcremente'!AC2:AC6)</f>
        <v>1396241.733333312</v>
      </c>
    </row>
    <row r="30" spans="2:4" x14ac:dyDescent="0.3">
      <c r="B30" s="11">
        <v>28</v>
      </c>
      <c r="C30" s="12">
        <v>100273094.61249954</v>
      </c>
      <c r="D30" s="12">
        <f>SUM('Triangle Imcremente'!AD2:AD5)</f>
        <v>672556.74166659266</v>
      </c>
    </row>
    <row r="31" spans="2:4" x14ac:dyDescent="0.3">
      <c r="B31" s="11">
        <v>29</v>
      </c>
      <c r="C31" s="12">
        <v>119573737.00416696</v>
      </c>
      <c r="D31" s="12">
        <f>SUM('Triangle Imcremente'!AE2:AE4)</f>
        <v>2448225.4833332971</v>
      </c>
    </row>
    <row r="32" spans="2:4" x14ac:dyDescent="0.3">
      <c r="B32" s="11">
        <v>30</v>
      </c>
      <c r="C32" s="12">
        <v>126917190.32083274</v>
      </c>
      <c r="D32" s="12">
        <f>SUM('Triangle Imcremente'!AF2:AF3)</f>
        <v>101497.04999999702</v>
      </c>
    </row>
    <row r="33" spans="2:4" x14ac:dyDescent="0.3">
      <c r="B33" s="11">
        <v>31</v>
      </c>
      <c r="C33" s="12">
        <v>132544766.72083506</v>
      </c>
      <c r="D33" s="12">
        <f>SUM('Triangle Imcremente'!AG2)</f>
        <v>56991.479166701436</v>
      </c>
    </row>
    <row r="34" spans="2:4" x14ac:dyDescent="0.3">
      <c r="C34" s="34">
        <f>SUM(C2:C33)</f>
        <v>2755850269.9681025</v>
      </c>
      <c r="D34" s="34">
        <f>SUM(D2:D33)</f>
        <v>2755850269.9681015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05A9-57B4-4195-A2F2-4EB7618EB3FA}">
  <dimension ref="B2:I36"/>
  <sheetViews>
    <sheetView workbookViewId="0">
      <selection activeCell="I6" sqref="I6"/>
    </sheetView>
  </sheetViews>
  <sheetFormatPr defaultRowHeight="14.4" x14ac:dyDescent="0.3"/>
  <cols>
    <col min="2" max="2" width="7.109375" bestFit="1" customWidth="1"/>
    <col min="3" max="4" width="10.88671875" bestFit="1" customWidth="1"/>
    <col min="5" max="5" width="31.33203125" style="16" bestFit="1" customWidth="1"/>
    <col min="6" max="6" width="14.88671875" bestFit="1" customWidth="1"/>
    <col min="7" max="7" width="39.109375" bestFit="1" customWidth="1"/>
    <col min="8" max="8" width="12" bestFit="1" customWidth="1"/>
    <col min="9" max="9" width="44.5546875" bestFit="1" customWidth="1"/>
  </cols>
  <sheetData>
    <row r="2" spans="2:9" x14ac:dyDescent="0.3">
      <c r="B2" s="19" t="s">
        <v>36</v>
      </c>
      <c r="C2" s="19" t="s">
        <v>37</v>
      </c>
      <c r="D2" s="19" t="s">
        <v>38</v>
      </c>
      <c r="E2" s="20" t="s">
        <v>39</v>
      </c>
      <c r="F2" s="19" t="s">
        <v>40</v>
      </c>
      <c r="G2" s="19" t="s">
        <v>41</v>
      </c>
      <c r="H2" s="19" t="s">
        <v>42</v>
      </c>
      <c r="I2" t="s">
        <v>55</v>
      </c>
    </row>
    <row r="3" spans="2:9" x14ac:dyDescent="0.3">
      <c r="B3" s="14">
        <v>31</v>
      </c>
      <c r="C3" s="15">
        <v>132544766.72083506</v>
      </c>
      <c r="D3" s="15">
        <v>56991.4791667014</v>
      </c>
      <c r="E3" s="16">
        <v>0</v>
      </c>
      <c r="F3">
        <f>C3/(1-E3)</f>
        <v>132544766.72083506</v>
      </c>
      <c r="G3">
        <f>F3</f>
        <v>132544766.72083506</v>
      </c>
      <c r="H3">
        <f>D3/G3</f>
        <v>4.2997909745268545E-4</v>
      </c>
      <c r="I3" s="10" t="s">
        <v>57</v>
      </c>
    </row>
    <row r="4" spans="2:9" x14ac:dyDescent="0.3">
      <c r="B4" s="14">
        <v>30</v>
      </c>
      <c r="C4" s="15">
        <v>126917190.32083274</v>
      </c>
      <c r="D4" s="15">
        <v>101497.04999999702</v>
      </c>
      <c r="E4" s="16">
        <f>H3</f>
        <v>4.2997909745268545E-4</v>
      </c>
      <c r="F4">
        <f t="shared" ref="F4:F34" si="0">C4/(1-E4)</f>
        <v>126971785.53457886</v>
      </c>
      <c r="G4">
        <f t="shared" ref="G4:G34" si="1">F4+G3</f>
        <v>259516552.25541392</v>
      </c>
      <c r="H4">
        <f t="shared" ref="H4:H34" si="2">D4/G4</f>
        <v>3.9110048710921724E-4</v>
      </c>
      <c r="I4" t="s">
        <v>58</v>
      </c>
    </row>
    <row r="5" spans="2:9" x14ac:dyDescent="0.3">
      <c r="B5" s="14">
        <v>29</v>
      </c>
      <c r="C5" s="15">
        <v>119573737.00416696</v>
      </c>
      <c r="D5" s="15">
        <v>2448225.4833332971</v>
      </c>
      <c r="E5" s="16">
        <f>H4+H3</f>
        <v>8.2107958456190274E-4</v>
      </c>
      <c r="F5">
        <f t="shared" si="0"/>
        <v>119671997.23794279</v>
      </c>
      <c r="G5">
        <f t="shared" si="1"/>
        <v>379188549.4933567</v>
      </c>
      <c r="H5">
        <f t="shared" si="2"/>
        <v>6.4564857947436239E-3</v>
      </c>
      <c r="I5" t="s">
        <v>56</v>
      </c>
    </row>
    <row r="6" spans="2:9" x14ac:dyDescent="0.3">
      <c r="B6" s="14">
        <v>28</v>
      </c>
      <c r="C6" s="15">
        <v>100273094.61249954</v>
      </c>
      <c r="D6" s="15">
        <v>672556.74166659266</v>
      </c>
      <c r="E6" s="16">
        <f>H5+H4+H3</f>
        <v>7.277565379305526E-3</v>
      </c>
      <c r="F6">
        <f t="shared" si="0"/>
        <v>101008188.30674709</v>
      </c>
      <c r="G6">
        <f t="shared" si="1"/>
        <v>480196737.80010378</v>
      </c>
      <c r="H6">
        <f t="shared" si="2"/>
        <v>1.4005858197782353E-3</v>
      </c>
      <c r="I6" s="10" t="s">
        <v>59</v>
      </c>
    </row>
    <row r="7" spans="2:9" x14ac:dyDescent="0.3">
      <c r="B7" s="14">
        <v>27</v>
      </c>
      <c r="C7" s="15">
        <v>77812622.137499601</v>
      </c>
      <c r="D7" s="15">
        <v>1396241.733333312</v>
      </c>
      <c r="E7" s="16">
        <f>SUM(H3:H6)</f>
        <v>8.6781511990837619E-3</v>
      </c>
      <c r="F7">
        <f t="shared" si="0"/>
        <v>78493803.230121732</v>
      </c>
      <c r="G7">
        <f t="shared" si="1"/>
        <v>558690541.03022552</v>
      </c>
      <c r="H7">
        <f t="shared" si="2"/>
        <v>2.4991325801912482E-3</v>
      </c>
    </row>
    <row r="8" spans="2:9" x14ac:dyDescent="0.3">
      <c r="B8" s="14">
        <v>26</v>
      </c>
      <c r="C8" s="15">
        <v>99151085.829167813</v>
      </c>
      <c r="D8" s="15">
        <v>1089196.6541664153</v>
      </c>
      <c r="E8" s="16">
        <f>SUM(H3:H7)</f>
        <v>1.1177283779275011E-2</v>
      </c>
      <c r="F8">
        <f t="shared" si="0"/>
        <v>100271852.78279479</v>
      </c>
      <c r="G8">
        <f t="shared" si="1"/>
        <v>658962393.81302035</v>
      </c>
      <c r="H8">
        <f t="shared" si="2"/>
        <v>1.6528965300491387E-3</v>
      </c>
    </row>
    <row r="9" spans="2:9" x14ac:dyDescent="0.3">
      <c r="B9" s="14">
        <v>25</v>
      </c>
      <c r="C9" s="15">
        <v>97079910.19999972</v>
      </c>
      <c r="D9" s="15">
        <v>945401.52083358914</v>
      </c>
      <c r="E9" s="16">
        <f>SUM(H3:H8)</f>
        <v>1.283018030932415E-2</v>
      </c>
      <c r="F9">
        <f t="shared" si="0"/>
        <v>98341651.318330586</v>
      </c>
      <c r="G9">
        <f t="shared" si="1"/>
        <v>757304045.13135099</v>
      </c>
      <c r="H9">
        <f t="shared" si="2"/>
        <v>1.2483777511971608E-3</v>
      </c>
    </row>
    <row r="10" spans="2:9" x14ac:dyDescent="0.3">
      <c r="B10" s="14">
        <v>24</v>
      </c>
      <c r="C10" s="15">
        <v>104116861.60833257</v>
      </c>
      <c r="D10" s="15">
        <v>692727.79166778922</v>
      </c>
      <c r="E10" s="16">
        <f>SUM(H3:H9)</f>
        <v>1.407855806052131E-2</v>
      </c>
      <c r="F10">
        <f t="shared" si="0"/>
        <v>105603608.1368883</v>
      </c>
      <c r="G10">
        <f t="shared" si="1"/>
        <v>862907653.26823926</v>
      </c>
      <c r="H10">
        <f t="shared" si="2"/>
        <v>8.0278322836064967E-4</v>
      </c>
    </row>
    <row r="11" spans="2:9" x14ac:dyDescent="0.3">
      <c r="B11" s="14">
        <v>23</v>
      </c>
      <c r="C11" s="15">
        <v>95686621.375001177</v>
      </c>
      <c r="D11" s="15">
        <v>383628.8708333075</v>
      </c>
      <c r="E11" s="16">
        <f>SUM(H3:H10)</f>
        <v>1.4881341288881959E-2</v>
      </c>
      <c r="F11">
        <f t="shared" si="0"/>
        <v>97132076.962376252</v>
      </c>
      <c r="G11">
        <f t="shared" si="1"/>
        <v>960039730.2306155</v>
      </c>
      <c r="H11">
        <f t="shared" si="2"/>
        <v>3.9959686953909112E-4</v>
      </c>
    </row>
    <row r="12" spans="2:9" x14ac:dyDescent="0.3">
      <c r="B12" s="14">
        <v>22</v>
      </c>
      <c r="C12" s="15">
        <v>103208454.26809841</v>
      </c>
      <c r="D12" s="15">
        <v>779549.91249989718</v>
      </c>
      <c r="E12" s="16">
        <f>SUM(H3:H11)</f>
        <v>1.528093815842105E-2</v>
      </c>
      <c r="F12">
        <f t="shared" si="0"/>
        <v>104810050.16302054</v>
      </c>
      <c r="G12">
        <f t="shared" si="1"/>
        <v>1064849780.393636</v>
      </c>
      <c r="H12">
        <f t="shared" si="2"/>
        <v>7.3207500893856235E-4</v>
      </c>
    </row>
    <row r="13" spans="2:9" x14ac:dyDescent="0.3">
      <c r="B13" s="14">
        <v>21</v>
      </c>
      <c r="C13" s="15">
        <v>54825466.95416864</v>
      </c>
      <c r="D13" s="15">
        <v>487936.79583328962</v>
      </c>
      <c r="E13" s="16">
        <f>SUM(H3:H12)</f>
        <v>1.6013013167359612E-2</v>
      </c>
      <c r="F13">
        <f t="shared" si="0"/>
        <v>55717674.814629972</v>
      </c>
      <c r="G13">
        <f t="shared" si="1"/>
        <v>1120567455.208266</v>
      </c>
      <c r="H13">
        <f t="shared" si="2"/>
        <v>4.354372363443331E-4</v>
      </c>
    </row>
    <row r="14" spans="2:9" x14ac:dyDescent="0.3">
      <c r="B14" s="14">
        <v>20</v>
      </c>
      <c r="C14" s="15">
        <v>89158953.766665116</v>
      </c>
      <c r="D14" s="15">
        <v>1548916.4291678071</v>
      </c>
      <c r="E14" s="16">
        <f>SUM(H3:H13)</f>
        <v>1.6448450403703945E-2</v>
      </c>
      <c r="F14">
        <f t="shared" si="0"/>
        <v>90650005.892686442</v>
      </c>
      <c r="G14">
        <f t="shared" si="1"/>
        <v>1211217461.1009524</v>
      </c>
      <c r="H14">
        <f t="shared" si="2"/>
        <v>1.2788095275310008E-3</v>
      </c>
    </row>
    <row r="15" spans="2:9" x14ac:dyDescent="0.3">
      <c r="B15" s="14">
        <v>19</v>
      </c>
      <c r="C15" s="15">
        <v>89935368.370835051</v>
      </c>
      <c r="D15" s="15">
        <v>211472.74166502804</v>
      </c>
      <c r="E15" s="16">
        <f>SUM(H3:H14)</f>
        <v>1.7727259931234945E-2</v>
      </c>
      <c r="F15">
        <f t="shared" si="0"/>
        <v>91558448.791461959</v>
      </c>
      <c r="G15">
        <f t="shared" si="1"/>
        <v>1302775909.8924143</v>
      </c>
      <c r="H15">
        <f t="shared" si="2"/>
        <v>1.6232472527258495E-4</v>
      </c>
    </row>
    <row r="16" spans="2:9" x14ac:dyDescent="0.3">
      <c r="B16" s="14">
        <v>18</v>
      </c>
      <c r="C16" s="15">
        <v>79382402.375000179</v>
      </c>
      <c r="D16" s="15">
        <v>916547.88333368301</v>
      </c>
      <c r="E16" s="16">
        <f>SUM(H3:H15)</f>
        <v>1.7889584656507529E-2</v>
      </c>
      <c r="F16">
        <f t="shared" si="0"/>
        <v>80828388.676884398</v>
      </c>
      <c r="G16">
        <f t="shared" si="1"/>
        <v>1383604298.5692987</v>
      </c>
      <c r="H16">
        <f t="shared" si="2"/>
        <v>6.6243497818084952E-4</v>
      </c>
    </row>
    <row r="17" spans="2:8" x14ac:dyDescent="0.3">
      <c r="B17" s="14">
        <v>17</v>
      </c>
      <c r="C17" s="15">
        <v>80205176.712499768</v>
      </c>
      <c r="D17" s="15">
        <v>1185471.2249997631</v>
      </c>
      <c r="E17" s="16">
        <f>SUM(H3:H16)</f>
        <v>1.8552019634688378E-2</v>
      </c>
      <c r="F17">
        <f t="shared" si="0"/>
        <v>81721271.343027309</v>
      </c>
      <c r="G17">
        <f t="shared" si="1"/>
        <v>1465325569.9123261</v>
      </c>
      <c r="H17">
        <f t="shared" si="2"/>
        <v>8.0901558625684304E-4</v>
      </c>
    </row>
    <row r="18" spans="2:8" x14ac:dyDescent="0.3">
      <c r="B18" s="14">
        <v>16</v>
      </c>
      <c r="C18" s="15">
        <v>73571830.13749887</v>
      </c>
      <c r="D18" s="15">
        <v>2087705.9333333224</v>
      </c>
      <c r="E18" s="16">
        <f>SUM(H3:H17)</f>
        <v>1.9361035220945219E-2</v>
      </c>
      <c r="F18">
        <f t="shared" si="0"/>
        <v>75024379.797181681</v>
      </c>
      <c r="G18">
        <f t="shared" si="1"/>
        <v>1540349949.7095077</v>
      </c>
      <c r="H18">
        <f t="shared" si="2"/>
        <v>1.3553452147202262E-3</v>
      </c>
    </row>
    <row r="19" spans="2:8" x14ac:dyDescent="0.3">
      <c r="B19" s="14">
        <v>15</v>
      </c>
      <c r="C19" s="15">
        <v>72930330.858333737</v>
      </c>
      <c r="D19" s="15">
        <v>3357686.5166668072</v>
      </c>
      <c r="E19" s="16">
        <f>SUM(H3:H18)</f>
        <v>2.0716380435665444E-2</v>
      </c>
      <c r="F19">
        <f t="shared" si="0"/>
        <v>74473144.859483212</v>
      </c>
      <c r="G19">
        <f t="shared" si="1"/>
        <v>1614823094.5689909</v>
      </c>
      <c r="H19">
        <f t="shared" si="2"/>
        <v>2.0792906219631447E-3</v>
      </c>
    </row>
    <row r="20" spans="2:8" x14ac:dyDescent="0.3">
      <c r="B20" s="14">
        <v>14</v>
      </c>
      <c r="C20" s="15">
        <v>77363990.116666377</v>
      </c>
      <c r="D20" s="15">
        <v>1824899.8208343014</v>
      </c>
      <c r="E20" s="16">
        <f>SUM(H3:H19)</f>
        <v>2.2795671057628589E-2</v>
      </c>
      <c r="F20">
        <f t="shared" si="0"/>
        <v>79168693.614361539</v>
      </c>
      <c r="G20">
        <f t="shared" si="1"/>
        <v>1693991788.1833525</v>
      </c>
      <c r="H20">
        <f t="shared" si="2"/>
        <v>1.0772778437086379E-3</v>
      </c>
    </row>
    <row r="21" spans="2:8" x14ac:dyDescent="0.3">
      <c r="B21" s="14">
        <v>13</v>
      </c>
      <c r="C21" s="15">
        <v>156510442.35333335</v>
      </c>
      <c r="D21" s="15">
        <v>6752372.110832803</v>
      </c>
      <c r="E21" s="16">
        <f>SUM(H3:H20)</f>
        <v>2.3872948901337229E-2</v>
      </c>
      <c r="F21">
        <f t="shared" si="0"/>
        <v>160338187.71560091</v>
      </c>
      <c r="G21">
        <f t="shared" si="1"/>
        <v>1854329975.8989534</v>
      </c>
      <c r="H21">
        <f t="shared" si="2"/>
        <v>3.6414080549818794E-3</v>
      </c>
    </row>
    <row r="22" spans="2:8" x14ac:dyDescent="0.3">
      <c r="B22" s="14">
        <v>12</v>
      </c>
      <c r="C22" s="15">
        <v>141003487.80083349</v>
      </c>
      <c r="D22" s="15">
        <v>10114639.729166262</v>
      </c>
      <c r="E22" s="16">
        <f>SUM(H3:H21)</f>
        <v>2.7514356956319107E-2</v>
      </c>
      <c r="F22">
        <f t="shared" si="0"/>
        <v>144992873.47782478</v>
      </c>
      <c r="G22">
        <f t="shared" si="1"/>
        <v>1999322849.3767781</v>
      </c>
      <c r="H22">
        <f t="shared" si="2"/>
        <v>5.0590327281655198E-3</v>
      </c>
    </row>
    <row r="23" spans="2:8" x14ac:dyDescent="0.3">
      <c r="B23" s="14">
        <v>11</v>
      </c>
      <c r="C23" s="15">
        <v>92505086.125000149</v>
      </c>
      <c r="D23" s="15">
        <v>13680183.076667979</v>
      </c>
      <c r="E23" s="16">
        <f>SUM(H3:H22)</f>
        <v>3.257338968448463E-2</v>
      </c>
      <c r="F23">
        <f t="shared" si="0"/>
        <v>95619745.351878062</v>
      </c>
      <c r="G23">
        <f t="shared" si="1"/>
        <v>2094942594.7286563</v>
      </c>
      <c r="H23">
        <f t="shared" si="2"/>
        <v>6.5300992547912178E-3</v>
      </c>
    </row>
    <row r="24" spans="2:8" x14ac:dyDescent="0.3">
      <c r="B24" s="14">
        <v>10</v>
      </c>
      <c r="C24" s="15">
        <v>97930783.3666666</v>
      </c>
      <c r="D24" s="15">
        <v>16570807.187498763</v>
      </c>
      <c r="E24" s="16">
        <f>SUM(H3:H23)</f>
        <v>3.910348893927585E-2</v>
      </c>
      <c r="F24">
        <f t="shared" si="0"/>
        <v>101916056.76511592</v>
      </c>
      <c r="G24">
        <f t="shared" si="1"/>
        <v>2196858651.493772</v>
      </c>
      <c r="H24">
        <f t="shared" si="2"/>
        <v>7.5429555634957705E-3</v>
      </c>
    </row>
    <row r="25" spans="2:8" x14ac:dyDescent="0.3">
      <c r="B25" s="14">
        <v>9</v>
      </c>
      <c r="C25" s="15">
        <v>94737179.574999928</v>
      </c>
      <c r="D25" s="15">
        <v>24320132.746667355</v>
      </c>
      <c r="E25" s="16">
        <f>SUM(H3:H24)</f>
        <v>4.6646444502771618E-2</v>
      </c>
      <c r="F25">
        <f t="shared" si="0"/>
        <v>99372555.993237033</v>
      </c>
      <c r="G25">
        <f t="shared" si="1"/>
        <v>2296231207.487009</v>
      </c>
      <c r="H25">
        <f t="shared" si="2"/>
        <v>1.0591325763437935E-2</v>
      </c>
    </row>
    <row r="26" spans="2:8" x14ac:dyDescent="0.3">
      <c r="B26" s="14">
        <v>8</v>
      </c>
      <c r="C26" s="15">
        <v>86643715.449999899</v>
      </c>
      <c r="D26" s="15">
        <v>31426904.438333303</v>
      </c>
      <c r="E26" s="16">
        <f>SUM(H3:H25)</f>
        <v>5.7237770266209555E-2</v>
      </c>
      <c r="F26">
        <f t="shared" si="0"/>
        <v>91904101.285926193</v>
      </c>
      <c r="G26">
        <f t="shared" si="1"/>
        <v>2388135308.7729354</v>
      </c>
      <c r="H26">
        <f t="shared" si="2"/>
        <v>1.3159599593408709E-2</v>
      </c>
    </row>
    <row r="27" spans="2:8" x14ac:dyDescent="0.3">
      <c r="B27" s="14">
        <v>7</v>
      </c>
      <c r="C27" s="15">
        <v>81321693.537500083</v>
      </c>
      <c r="D27" s="15">
        <v>47250866.8716662</v>
      </c>
      <c r="E27" s="16">
        <f>SUM(H3:H26)</f>
        <v>7.0397369859618267E-2</v>
      </c>
      <c r="F27">
        <f t="shared" si="0"/>
        <v>87480059.652175769</v>
      </c>
      <c r="G27">
        <f t="shared" si="1"/>
        <v>2475615368.4251113</v>
      </c>
      <c r="H27">
        <f t="shared" si="2"/>
        <v>1.9086513791407481E-2</v>
      </c>
    </row>
    <row r="28" spans="2:8" x14ac:dyDescent="0.3">
      <c r="B28" s="14">
        <v>6</v>
      </c>
      <c r="C28" s="15">
        <v>86340048.995833427</v>
      </c>
      <c r="D28" s="15">
        <v>75191461.214167029</v>
      </c>
      <c r="E28" s="16">
        <f>SUM(H3:H27)</f>
        <v>8.9483883651025747E-2</v>
      </c>
      <c r="F28">
        <f t="shared" si="0"/>
        <v>94825393.472488314</v>
      </c>
      <c r="G28">
        <f t="shared" si="1"/>
        <v>2570440761.8975997</v>
      </c>
      <c r="H28">
        <f t="shared" si="2"/>
        <v>2.9252361045915626E-2</v>
      </c>
    </row>
    <row r="29" spans="2:8" x14ac:dyDescent="0.3">
      <c r="B29" s="14">
        <v>5</v>
      </c>
      <c r="C29" s="15">
        <v>67306890.462500021</v>
      </c>
      <c r="D29" s="15">
        <v>115887820.8925003</v>
      </c>
      <c r="E29" s="16">
        <f>SUM(H3:H28)</f>
        <v>0.11873624469694137</v>
      </c>
      <c r="F29">
        <f t="shared" si="0"/>
        <v>76375421.157941282</v>
      </c>
      <c r="G29">
        <f t="shared" si="1"/>
        <v>2646816183.055541</v>
      </c>
      <c r="H29">
        <f t="shared" si="2"/>
        <v>4.3783856859571153E-2</v>
      </c>
    </row>
    <row r="30" spans="2:8" x14ac:dyDescent="0.3">
      <c r="B30" s="14">
        <v>4</v>
      </c>
      <c r="C30" s="15">
        <v>60044117.69166667</v>
      </c>
      <c r="D30" s="15">
        <v>201358806.84499976</v>
      </c>
      <c r="E30" s="16">
        <f>SUM(H3:H29)</f>
        <v>0.16252010155651253</v>
      </c>
      <c r="F30">
        <f t="shared" si="0"/>
        <v>71696189.727374583</v>
      </c>
      <c r="G30">
        <f t="shared" si="1"/>
        <v>2718512372.7829156</v>
      </c>
      <c r="H30">
        <f t="shared" si="2"/>
        <v>7.4069483317771564E-2</v>
      </c>
    </row>
    <row r="31" spans="2:8" x14ac:dyDescent="0.3">
      <c r="B31" s="14">
        <v>3</v>
      </c>
      <c r="C31" s="15">
        <v>44226813.720833331</v>
      </c>
      <c r="D31" s="15">
        <v>391277271.3239333</v>
      </c>
      <c r="E31" s="16">
        <f>SUM(H3:H30)</f>
        <v>0.23658958487428411</v>
      </c>
      <c r="F31">
        <f t="shared" si="0"/>
        <v>57933207.151162855</v>
      </c>
      <c r="G31">
        <f t="shared" si="1"/>
        <v>2776445579.9340782</v>
      </c>
      <c r="H31">
        <f t="shared" si="2"/>
        <v>0.1409274052233444</v>
      </c>
    </row>
    <row r="32" spans="2:8" x14ac:dyDescent="0.3">
      <c r="B32" s="14">
        <v>2</v>
      </c>
      <c r="C32" s="15">
        <v>42432024.904166602</v>
      </c>
      <c r="D32" s="15">
        <v>631165995.84666657</v>
      </c>
      <c r="E32" s="16">
        <f>SUM(H3:H31)</f>
        <v>0.37751699009762851</v>
      </c>
      <c r="F32">
        <f t="shared" si="0"/>
        <v>68165755.898818061</v>
      </c>
      <c r="G32">
        <f t="shared" si="1"/>
        <v>2844611335.8328962</v>
      </c>
      <c r="H32">
        <f t="shared" si="2"/>
        <v>0.22188127702931426</v>
      </c>
    </row>
    <row r="33" spans="2:8" x14ac:dyDescent="0.3">
      <c r="B33" s="14">
        <v>1</v>
      </c>
      <c r="C33" s="15">
        <v>24925121.266666673</v>
      </c>
      <c r="D33" s="15">
        <v>805619890.22333395</v>
      </c>
      <c r="E33" s="16">
        <f>SUM(H3:H32)</f>
        <v>0.59939826712694277</v>
      </c>
      <c r="F33">
        <f t="shared" si="0"/>
        <v>62219204.814485788</v>
      </c>
      <c r="G33">
        <f t="shared" si="1"/>
        <v>2906830540.6473818</v>
      </c>
      <c r="H33">
        <f t="shared" si="2"/>
        <v>0.27714718108194702</v>
      </c>
    </row>
    <row r="34" spans="2:8" x14ac:dyDescent="0.3">
      <c r="B34" s="14">
        <v>0</v>
      </c>
      <c r="C34" s="15">
        <v>6185001.3499999996</v>
      </c>
      <c r="D34" s="15">
        <v>365046462.87833339</v>
      </c>
      <c r="E34" s="16">
        <f>SUM(H3:H33)</f>
        <v>0.8765454482088898</v>
      </c>
      <c r="F34">
        <f t="shared" si="0"/>
        <v>50099419.2621205</v>
      </c>
      <c r="G34">
        <f t="shared" si="1"/>
        <v>2956929959.9095025</v>
      </c>
      <c r="H34">
        <f t="shared" si="2"/>
        <v>0.1234545517911103</v>
      </c>
    </row>
    <row r="36" spans="2:8" x14ac:dyDescent="0.3">
      <c r="H36">
        <f>SUM(H3:H34)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276A-F7F7-46CF-877D-248C9C4CB12F}">
  <dimension ref="A1:C36"/>
  <sheetViews>
    <sheetView topLeftCell="A15" workbookViewId="0">
      <selection activeCell="B36" sqref="B36"/>
    </sheetView>
  </sheetViews>
  <sheetFormatPr defaultRowHeight="14.4" x14ac:dyDescent="0.3"/>
  <cols>
    <col min="1" max="1" width="10.33203125" customWidth="1"/>
    <col min="2" max="2" width="12" customWidth="1"/>
    <col min="3" max="3" width="14" bestFit="1" customWidth="1"/>
  </cols>
  <sheetData>
    <row r="1" spans="1:3" ht="66.599999999999994" x14ac:dyDescent="0.3">
      <c r="A1" s="13" t="s">
        <v>43</v>
      </c>
      <c r="B1" s="17" t="s">
        <v>44</v>
      </c>
      <c r="C1" s="13" t="s">
        <v>51</v>
      </c>
    </row>
    <row r="2" spans="1:3" x14ac:dyDescent="0.3">
      <c r="A2" s="14">
        <v>0</v>
      </c>
      <c r="B2" s="18">
        <v>0.1234545517911103</v>
      </c>
      <c r="C2">
        <f>Table3[[#This Row],[r(j)]]*$B$36</f>
        <v>0.12317919003855785</v>
      </c>
    </row>
    <row r="3" spans="1:3" x14ac:dyDescent="0.3">
      <c r="A3" s="14">
        <v>1</v>
      </c>
      <c r="B3" s="18">
        <v>0.27714718108194702</v>
      </c>
      <c r="C3">
        <f>Table3[[#This Row],[r(j)]]*$B$36</f>
        <v>0.27652901243291395</v>
      </c>
    </row>
    <row r="4" spans="1:3" x14ac:dyDescent="0.3">
      <c r="A4" s="14">
        <v>2</v>
      </c>
      <c r="B4" s="18">
        <v>0.22188127702931426</v>
      </c>
      <c r="C4">
        <f>Table3[[#This Row],[r(j)]]*$B$36</f>
        <v>0.22138637735639863</v>
      </c>
    </row>
    <row r="5" spans="1:3" x14ac:dyDescent="0.3">
      <c r="A5" s="14">
        <v>3</v>
      </c>
      <c r="B5" s="18">
        <v>0.1409274052233444</v>
      </c>
      <c r="C5">
        <f>Table3[[#This Row],[r(j)]]*$B$36</f>
        <v>0.14061307078429811</v>
      </c>
    </row>
    <row r="6" spans="1:3" x14ac:dyDescent="0.3">
      <c r="A6" s="14">
        <v>4</v>
      </c>
      <c r="B6" s="18">
        <v>7.4069483317771564E-2</v>
      </c>
      <c r="C6">
        <f>Table3[[#This Row],[r(j)]]*$B$36</f>
        <v>7.3904273510266474E-2</v>
      </c>
    </row>
    <row r="7" spans="1:3" x14ac:dyDescent="0.3">
      <c r="A7" s="14">
        <v>5</v>
      </c>
      <c r="B7" s="18">
        <v>4.3783856859571153E-2</v>
      </c>
      <c r="C7">
        <f>Table3[[#This Row],[r(j)]]*$B$36</f>
        <v>4.3686198252549865E-2</v>
      </c>
    </row>
    <row r="8" spans="1:3" x14ac:dyDescent="0.3">
      <c r="A8" s="14">
        <v>6</v>
      </c>
      <c r="B8" s="18">
        <v>2.9252361045915626E-2</v>
      </c>
      <c r="C8">
        <f>Table3[[#This Row],[r(j)]]*$B$36</f>
        <v>2.9187114513592301E-2</v>
      </c>
    </row>
    <row r="9" spans="1:3" x14ac:dyDescent="0.3">
      <c r="A9" s="14">
        <v>7</v>
      </c>
      <c r="B9" s="18">
        <v>1.9086513791407481E-2</v>
      </c>
      <c r="C9">
        <f>Table3[[#This Row],[r(j)]]*$B$36</f>
        <v>1.9043941882867312E-2</v>
      </c>
    </row>
    <row r="10" spans="1:3" x14ac:dyDescent="0.3">
      <c r="A10" s="14">
        <v>8</v>
      </c>
      <c r="B10" s="18">
        <v>1.3159599593408709E-2</v>
      </c>
      <c r="C10">
        <f>Table3[[#This Row],[r(j)]]*$B$36</f>
        <v>1.3130247492944556E-2</v>
      </c>
    </row>
    <row r="11" spans="1:3" x14ac:dyDescent="0.3">
      <c r="A11" s="14">
        <v>9</v>
      </c>
      <c r="B11" s="18">
        <v>1.0591325763437935E-2</v>
      </c>
      <c r="C11">
        <f>Table3[[#This Row],[r(j)]]*$B$36</f>
        <v>1.0567702122334698E-2</v>
      </c>
    </row>
    <row r="12" spans="1:3" x14ac:dyDescent="0.3">
      <c r="A12" s="14">
        <v>10</v>
      </c>
      <c r="B12" s="18">
        <v>7.5429555634957705E-3</v>
      </c>
      <c r="C12">
        <f>Table3[[#This Row],[r(j)]]*$B$36</f>
        <v>7.526131222608738E-3</v>
      </c>
    </row>
    <row r="13" spans="1:3" x14ac:dyDescent="0.3">
      <c r="A13" s="14">
        <v>11</v>
      </c>
      <c r="B13" s="18">
        <v>6.5300992547912178E-3</v>
      </c>
      <c r="C13">
        <f>Table3[[#This Row],[r(j)]]*$B$36</f>
        <v>6.5155340601584328E-3</v>
      </c>
    </row>
    <row r="14" spans="1:3" x14ac:dyDescent="0.3">
      <c r="A14" s="14">
        <v>12</v>
      </c>
      <c r="B14" s="18">
        <v>5.0590327281655198E-3</v>
      </c>
      <c r="C14">
        <f>Table3[[#This Row],[r(j)]]*$B$36</f>
        <v>5.0477487042228063E-3</v>
      </c>
    </row>
    <row r="15" spans="1:3" x14ac:dyDescent="0.3">
      <c r="A15" s="14">
        <v>13</v>
      </c>
      <c r="B15" s="18">
        <v>3.6414080549818794E-3</v>
      </c>
      <c r="C15">
        <f>Table3[[#This Row],[r(j)]]*$B$36</f>
        <v>3.6332860012444437E-3</v>
      </c>
    </row>
    <row r="16" spans="1:3" x14ac:dyDescent="0.3">
      <c r="A16" s="14">
        <v>14</v>
      </c>
      <c r="B16" s="18">
        <v>1.0772778437086379E-3</v>
      </c>
      <c r="C16">
        <f>Table3[[#This Row],[r(j)]]*$B$36</f>
        <v>1.0748750071122889E-3</v>
      </c>
    </row>
    <row r="17" spans="1:3" x14ac:dyDescent="0.3">
      <c r="A17" s="14">
        <v>15</v>
      </c>
      <c r="B17" s="18">
        <v>2.0792906219631447E-3</v>
      </c>
      <c r="C17">
        <f>Table3[[#This Row],[r(j)]]*$B$36</f>
        <v>2.0746528252887993E-3</v>
      </c>
    </row>
    <row r="18" spans="1:3" x14ac:dyDescent="0.3">
      <c r="A18" s="14">
        <v>16</v>
      </c>
      <c r="B18" s="18">
        <v>1.3553452147202262E-3</v>
      </c>
      <c r="C18">
        <f>Table3[[#This Row],[r(j)]]*$B$36</f>
        <v>1.3523221570182272E-3</v>
      </c>
    </row>
    <row r="19" spans="1:3" x14ac:dyDescent="0.3">
      <c r="A19" s="14">
        <v>17</v>
      </c>
      <c r="B19" s="18">
        <v>8.0901558625684304E-4</v>
      </c>
      <c r="C19">
        <f>Table3[[#This Row],[r(j)]]*$B$36</f>
        <v>8.0721110074827415E-4</v>
      </c>
    </row>
    <row r="20" spans="1:3" x14ac:dyDescent="0.3">
      <c r="A20" s="14">
        <v>18</v>
      </c>
      <c r="B20" s="18">
        <v>6.6243497818084952E-4</v>
      </c>
      <c r="C20">
        <f>Table3[[#This Row],[r(j)]]*$B$36</f>
        <v>6.6095743641428459E-4</v>
      </c>
    </row>
    <row r="21" spans="1:3" x14ac:dyDescent="0.3">
      <c r="A21" s="14">
        <v>19</v>
      </c>
      <c r="B21" s="18">
        <v>1.6232472527258495E-4</v>
      </c>
      <c r="C21">
        <f>Table3[[#This Row],[r(j)]]*$B$36</f>
        <v>1.6196266473949674E-4</v>
      </c>
    </row>
    <row r="22" spans="1:3" x14ac:dyDescent="0.3">
      <c r="A22" s="14">
        <v>20</v>
      </c>
      <c r="B22" s="18">
        <v>1.2788095275310008E-3</v>
      </c>
      <c r="C22">
        <f>Table3[[#This Row],[r(j)]]*$B$36</f>
        <v>1.2759571804318226E-3</v>
      </c>
    </row>
    <row r="23" spans="1:3" x14ac:dyDescent="0.3">
      <c r="A23" s="14">
        <v>21</v>
      </c>
      <c r="B23" s="18">
        <v>4.354372363443331E-4</v>
      </c>
      <c r="C23">
        <f>Table3[[#This Row],[r(j)]]*$B$36</f>
        <v>4.3446600637519231E-4</v>
      </c>
    </row>
    <row r="24" spans="1:3" x14ac:dyDescent="0.3">
      <c r="A24" s="14">
        <v>22</v>
      </c>
      <c r="B24" s="18">
        <v>7.3207500893856235E-4</v>
      </c>
      <c r="C24">
        <f>Table3[[#This Row],[r(j)]]*$B$36</f>
        <v>7.3044213712835759E-4</v>
      </c>
    </row>
    <row r="25" spans="1:3" x14ac:dyDescent="0.3">
      <c r="A25" s="14">
        <v>23</v>
      </c>
      <c r="B25" s="18">
        <v>3.9959686953909112E-4</v>
      </c>
      <c r="C25">
        <f>Table3[[#This Row],[r(j)]]*$B$36</f>
        <v>3.9870558045566439E-4</v>
      </c>
    </row>
    <row r="26" spans="1:3" x14ac:dyDescent="0.3">
      <c r="A26" s="14">
        <v>24</v>
      </c>
      <c r="B26" s="18">
        <v>8.0278322836064967E-4</v>
      </c>
      <c r="C26">
        <f>Table3[[#This Row],[r(j)]]*$B$36</f>
        <v>8.0099264394335626E-4</v>
      </c>
    </row>
    <row r="27" spans="1:3" x14ac:dyDescent="0.3">
      <c r="A27" s="14">
        <v>25</v>
      </c>
      <c r="B27" s="18">
        <v>1.2483777511971608E-3</v>
      </c>
      <c r="C27">
        <f>Table3[[#This Row],[r(j)]]*$B$36</f>
        <v>1.2455932812814724E-3</v>
      </c>
    </row>
    <row r="28" spans="1:3" x14ac:dyDescent="0.3">
      <c r="A28" s="14">
        <v>26</v>
      </c>
      <c r="B28" s="18">
        <v>1.6528965300491387E-3</v>
      </c>
      <c r="C28">
        <f>Table3[[#This Row],[r(j)]]*$B$36</f>
        <v>1.6492097928758321E-3</v>
      </c>
    </row>
    <row r="29" spans="1:3" x14ac:dyDescent="0.3">
      <c r="A29" s="14">
        <v>27</v>
      </c>
      <c r="B29" s="18">
        <v>2.4991325801912482E-3</v>
      </c>
      <c r="C29">
        <f>Table3[[#This Row],[r(j)]]*$B$36</f>
        <v>2.4935583383576478E-3</v>
      </c>
    </row>
    <row r="30" spans="1:3" x14ac:dyDescent="0.3">
      <c r="A30" s="14">
        <v>28</v>
      </c>
      <c r="B30" s="18">
        <v>1.4005858197782353E-3</v>
      </c>
      <c r="C30">
        <f>Table3[[#This Row],[r(j)]]*$B$36</f>
        <v>1.3974618542351356E-3</v>
      </c>
    </row>
    <row r="31" spans="1:3" x14ac:dyDescent="0.3">
      <c r="A31" s="14">
        <v>29</v>
      </c>
      <c r="B31" s="18">
        <v>6.4564857947436239E-3</v>
      </c>
      <c r="C31">
        <f>Table3[[#This Row],[r(j)]]*$B$36</f>
        <v>6.4420847927718307E-3</v>
      </c>
    </row>
    <row r="32" spans="1:3" x14ac:dyDescent="0.3">
      <c r="A32" s="14">
        <v>30</v>
      </c>
      <c r="B32" s="18">
        <v>3.9110048710921724E-4</v>
      </c>
      <c r="C32">
        <f>Table3[[#This Row],[r(j)]]*$B$36</f>
        <v>3.902281489573058E-4</v>
      </c>
    </row>
    <row r="33" spans="1:3" x14ac:dyDescent="0.3">
      <c r="A33" s="21">
        <v>31</v>
      </c>
      <c r="B33" s="22">
        <v>4.2997909745268572E-4</v>
      </c>
      <c r="C33">
        <f>Table3[[#This Row],[r(j)]]*$B$36</f>
        <v>4.2902004170206558E-4</v>
      </c>
    </row>
    <row r="34" spans="1:3" x14ac:dyDescent="0.3">
      <c r="A34" s="21">
        <v>32</v>
      </c>
      <c r="B34" s="22">
        <f>AVERAGE(B29:B33)</f>
        <v>2.2354567558550021E-3</v>
      </c>
      <c r="C34">
        <f>Table3[[#This Row],[r(j)]]*$B$36</f>
        <v>2.2304706352047972E-3</v>
      </c>
    </row>
    <row r="35" spans="1:3" x14ac:dyDescent="0.3">
      <c r="A35" s="21" t="s">
        <v>52</v>
      </c>
      <c r="B35" s="22">
        <f>SUM(B2:B34)</f>
        <v>1.0022354567558551</v>
      </c>
      <c r="C35">
        <f>Table3[[#This Row],[r(j)]]*$B$36</f>
        <v>1</v>
      </c>
    </row>
    <row r="36" spans="1:3" x14ac:dyDescent="0.3">
      <c r="A36" s="21"/>
      <c r="B36" s="22">
        <f>1/B35</f>
        <v>0.99776952936479513</v>
      </c>
      <c r="C36">
        <f>Table3[[#This Row],[r(j)]]*$B$36</f>
        <v>0.99554403372884481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3040-3CC6-4295-B5BB-62F0B6F6DF0D}">
  <dimension ref="A2:H66"/>
  <sheetViews>
    <sheetView workbookViewId="0">
      <selection activeCell="E4" sqref="E4"/>
    </sheetView>
  </sheetViews>
  <sheetFormatPr defaultRowHeight="14.4" x14ac:dyDescent="0.3"/>
  <cols>
    <col min="1" max="1" width="18.21875" customWidth="1"/>
    <col min="2" max="2" width="10.88671875" customWidth="1"/>
    <col min="3" max="3" width="19.88671875" customWidth="1"/>
    <col min="7" max="8" width="46.88671875" bestFit="1" customWidth="1"/>
    <col min="9" max="9" width="7.5546875" bestFit="1" customWidth="1"/>
  </cols>
  <sheetData>
    <row r="2" spans="1:8" x14ac:dyDescent="0.3">
      <c r="A2" s="13" t="s">
        <v>60</v>
      </c>
      <c r="B2" s="13" t="s">
        <v>45</v>
      </c>
      <c r="C2" s="13" t="s">
        <v>61</v>
      </c>
    </row>
    <row r="3" spans="1:8" x14ac:dyDescent="0.3">
      <c r="A3" s="14">
        <v>0</v>
      </c>
      <c r="B3" s="15">
        <v>50099419.2621205</v>
      </c>
      <c r="C3">
        <f>LN(B3)</f>
        <v>17.729519974413471</v>
      </c>
    </row>
    <row r="4" spans="1:8" x14ac:dyDescent="0.3">
      <c r="A4" s="14">
        <v>1</v>
      </c>
      <c r="B4" s="15">
        <v>62219204.814485788</v>
      </c>
      <c r="C4">
        <f>LN(B4)</f>
        <v>17.94617426912847</v>
      </c>
      <c r="G4" s="23" t="s">
        <v>46</v>
      </c>
    </row>
    <row r="5" spans="1:8" x14ac:dyDescent="0.3">
      <c r="A5" s="14">
        <v>2</v>
      </c>
      <c r="B5" s="15">
        <v>68165755.898818061</v>
      </c>
      <c r="C5">
        <f t="shared" ref="C5:C34" si="0">LN(B5)</f>
        <v>18.037452883792227</v>
      </c>
      <c r="G5" s="24" t="s">
        <v>47</v>
      </c>
      <c r="H5" s="25">
        <f>INTERCEPT(C3:C34,A3:A34)</f>
        <v>18.081351164623332</v>
      </c>
    </row>
    <row r="6" spans="1:8" x14ac:dyDescent="0.3">
      <c r="A6" s="14">
        <v>3</v>
      </c>
      <c r="B6" s="15">
        <v>57933207.151162855</v>
      </c>
      <c r="C6">
        <f t="shared" si="0"/>
        <v>17.874801304066906</v>
      </c>
      <c r="G6" s="24" t="s">
        <v>48</v>
      </c>
      <c r="H6" s="25">
        <f>SLOPE(C3:C34,A3:A34)</f>
        <v>1.4569632625293072E-2</v>
      </c>
    </row>
    <row r="7" spans="1:8" x14ac:dyDescent="0.3">
      <c r="A7" s="14">
        <v>4</v>
      </c>
      <c r="B7" s="15">
        <v>71696189.727374583</v>
      </c>
      <c r="C7">
        <f t="shared" si="0"/>
        <v>18.087948162280149</v>
      </c>
      <c r="G7" s="24" t="s">
        <v>49</v>
      </c>
      <c r="H7" s="26">
        <f>EXP(H6)-1</f>
        <v>1.4676287065215066E-2</v>
      </c>
    </row>
    <row r="8" spans="1:8" x14ac:dyDescent="0.3">
      <c r="A8" s="14">
        <v>5</v>
      </c>
      <c r="B8" s="15">
        <v>76375421.157941282</v>
      </c>
      <c r="C8">
        <f t="shared" si="0"/>
        <v>18.15117148978376</v>
      </c>
    </row>
    <row r="9" spans="1:8" x14ac:dyDescent="0.3">
      <c r="A9" s="14">
        <v>6</v>
      </c>
      <c r="B9" s="15">
        <v>94825393.472488314</v>
      </c>
      <c r="C9">
        <f t="shared" si="0"/>
        <v>18.367547794990035</v>
      </c>
    </row>
    <row r="10" spans="1:8" x14ac:dyDescent="0.3">
      <c r="A10" s="14">
        <v>7</v>
      </c>
      <c r="B10" s="15">
        <v>87480059.652175769</v>
      </c>
      <c r="C10">
        <f t="shared" si="0"/>
        <v>18.286921435667622</v>
      </c>
    </row>
    <row r="11" spans="1:8" x14ac:dyDescent="0.3">
      <c r="A11" s="14">
        <v>8</v>
      </c>
      <c r="B11" s="15">
        <v>91904101.285926193</v>
      </c>
      <c r="C11">
        <f t="shared" si="0"/>
        <v>18.336256214033352</v>
      </c>
    </row>
    <row r="12" spans="1:8" x14ac:dyDescent="0.3">
      <c r="A12" s="14">
        <v>9</v>
      </c>
      <c r="B12" s="15">
        <v>99372555.993237033</v>
      </c>
      <c r="C12">
        <f t="shared" si="0"/>
        <v>18.414386536857592</v>
      </c>
    </row>
    <row r="13" spans="1:8" x14ac:dyDescent="0.3">
      <c r="A13" s="14">
        <v>10</v>
      </c>
      <c r="B13" s="15">
        <v>101916056.76511592</v>
      </c>
      <c r="C13">
        <f t="shared" si="0"/>
        <v>18.439660059529423</v>
      </c>
    </row>
    <row r="14" spans="1:8" x14ac:dyDescent="0.3">
      <c r="A14" s="14">
        <v>11</v>
      </c>
      <c r="B14" s="15">
        <v>95619745.351878062</v>
      </c>
      <c r="C14">
        <f t="shared" si="0"/>
        <v>18.37588989803254</v>
      </c>
    </row>
    <row r="15" spans="1:8" x14ac:dyDescent="0.3">
      <c r="A15" s="14">
        <v>12</v>
      </c>
      <c r="B15" s="15">
        <v>144992873.47782478</v>
      </c>
      <c r="C15">
        <f t="shared" si="0"/>
        <v>18.792195150748231</v>
      </c>
    </row>
    <row r="16" spans="1:8" x14ac:dyDescent="0.3">
      <c r="A16" s="14">
        <v>13</v>
      </c>
      <c r="B16" s="15">
        <v>160338187.71560091</v>
      </c>
      <c r="C16">
        <f t="shared" si="0"/>
        <v>18.89279581575607</v>
      </c>
    </row>
    <row r="17" spans="1:3" x14ac:dyDescent="0.3">
      <c r="A17" s="14">
        <v>14</v>
      </c>
      <c r="B17" s="15">
        <v>79168693.614361539</v>
      </c>
      <c r="C17">
        <f t="shared" si="0"/>
        <v>18.187091495992924</v>
      </c>
    </row>
    <row r="18" spans="1:3" x14ac:dyDescent="0.3">
      <c r="A18" s="14">
        <v>15</v>
      </c>
      <c r="B18" s="15">
        <v>74473144.859483212</v>
      </c>
      <c r="C18">
        <f t="shared" si="0"/>
        <v>18.125949146679464</v>
      </c>
    </row>
    <row r="19" spans="1:3" x14ac:dyDescent="0.3">
      <c r="A19" s="14">
        <v>16</v>
      </c>
      <c r="B19" s="15">
        <v>75024379.797181681</v>
      </c>
      <c r="C19">
        <f t="shared" si="0"/>
        <v>18.133323682641162</v>
      </c>
    </row>
    <row r="20" spans="1:3" x14ac:dyDescent="0.3">
      <c r="A20" s="14">
        <v>17</v>
      </c>
      <c r="B20" s="15">
        <v>81721271.343027309</v>
      </c>
      <c r="C20">
        <f t="shared" si="0"/>
        <v>18.218824885098449</v>
      </c>
    </row>
    <row r="21" spans="1:3" x14ac:dyDescent="0.3">
      <c r="A21" s="14">
        <v>18</v>
      </c>
      <c r="B21" s="15">
        <v>80828388.676884398</v>
      </c>
      <c r="C21">
        <f t="shared" si="0"/>
        <v>18.207838806795063</v>
      </c>
    </row>
    <row r="22" spans="1:3" x14ac:dyDescent="0.3">
      <c r="A22" s="14">
        <v>19</v>
      </c>
      <c r="B22" s="15">
        <v>91558448.791461959</v>
      </c>
      <c r="C22">
        <f t="shared" si="0"/>
        <v>18.332488110915847</v>
      </c>
    </row>
    <row r="23" spans="1:3" x14ac:dyDescent="0.3">
      <c r="A23" s="14">
        <v>20</v>
      </c>
      <c r="B23" s="15">
        <v>90650005.892686442</v>
      </c>
      <c r="C23">
        <f t="shared" si="0"/>
        <v>18.322516560169948</v>
      </c>
    </row>
    <row r="24" spans="1:3" x14ac:dyDescent="0.3">
      <c r="A24" s="14">
        <v>21</v>
      </c>
      <c r="B24" s="15">
        <v>55717674.814629972</v>
      </c>
      <c r="C24">
        <f t="shared" si="0"/>
        <v>17.835807976188761</v>
      </c>
    </row>
    <row r="25" spans="1:3" x14ac:dyDescent="0.3">
      <c r="A25" s="14">
        <v>22</v>
      </c>
      <c r="B25" s="15">
        <v>104810050.16302054</v>
      </c>
      <c r="C25">
        <f t="shared" si="0"/>
        <v>18.467660223755352</v>
      </c>
    </row>
    <row r="26" spans="1:3" x14ac:dyDescent="0.3">
      <c r="A26" s="14">
        <v>23</v>
      </c>
      <c r="B26" s="15">
        <v>97132076.962376252</v>
      </c>
      <c r="C26">
        <f t="shared" si="0"/>
        <v>18.391582228475087</v>
      </c>
    </row>
    <row r="27" spans="1:3" x14ac:dyDescent="0.3">
      <c r="A27" s="14">
        <v>24</v>
      </c>
      <c r="B27" s="15">
        <v>105603608.1368883</v>
      </c>
      <c r="C27">
        <f t="shared" si="0"/>
        <v>18.475203096615679</v>
      </c>
    </row>
    <row r="28" spans="1:3" x14ac:dyDescent="0.3">
      <c r="A28" s="14">
        <v>25</v>
      </c>
      <c r="B28" s="15">
        <v>98341651.318330586</v>
      </c>
      <c r="C28">
        <f t="shared" si="0"/>
        <v>18.403958211736416</v>
      </c>
    </row>
    <row r="29" spans="1:3" x14ac:dyDescent="0.3">
      <c r="A29" s="14">
        <v>26</v>
      </c>
      <c r="B29" s="15">
        <v>100271852.78279479</v>
      </c>
      <c r="C29">
        <f t="shared" si="0"/>
        <v>18.42339558326691</v>
      </c>
    </row>
    <row r="30" spans="1:3" x14ac:dyDescent="0.3">
      <c r="A30" s="14">
        <v>27</v>
      </c>
      <c r="B30" s="15">
        <v>78493803.230121732</v>
      </c>
      <c r="C30">
        <f t="shared" si="0"/>
        <v>18.17853023989306</v>
      </c>
    </row>
    <row r="31" spans="1:3" x14ac:dyDescent="0.3">
      <c r="A31" s="14">
        <v>28</v>
      </c>
      <c r="B31" s="15">
        <v>101008188.30674709</v>
      </c>
      <c r="C31">
        <f t="shared" si="0"/>
        <v>18.430712143863378</v>
      </c>
    </row>
    <row r="32" spans="1:3" x14ac:dyDescent="0.3">
      <c r="A32" s="14">
        <v>29</v>
      </c>
      <c r="B32" s="15">
        <v>119671997.23794279</v>
      </c>
      <c r="C32">
        <f t="shared" si="0"/>
        <v>18.600265201956205</v>
      </c>
    </row>
    <row r="33" spans="1:8" x14ac:dyDescent="0.3">
      <c r="A33" s="14">
        <v>30</v>
      </c>
      <c r="B33" s="15">
        <v>126971785.53457886</v>
      </c>
      <c r="C33">
        <f t="shared" si="0"/>
        <v>18.659475458596376</v>
      </c>
    </row>
    <row r="34" spans="1:8" x14ac:dyDescent="0.3">
      <c r="A34" s="14">
        <v>31</v>
      </c>
      <c r="B34" s="15">
        <v>132544766.72083506</v>
      </c>
      <c r="C34">
        <f t="shared" si="0"/>
        <v>18.702431008372063</v>
      </c>
    </row>
    <row r="35" spans="1:8" x14ac:dyDescent="0.3">
      <c r="A35" s="14">
        <v>32</v>
      </c>
      <c r="B35" s="15">
        <f t="shared" ref="B35:B66" si="1">EXP($H$5+$H$6*A35)</f>
        <v>113530196.57645629</v>
      </c>
    </row>
    <row r="36" spans="1:8" x14ac:dyDescent="0.3">
      <c r="A36" s="14">
        <v>33</v>
      </c>
      <c r="B36" s="15">
        <f t="shared" si="1"/>
        <v>115196398.33198257</v>
      </c>
    </row>
    <row r="37" spans="1:8" x14ac:dyDescent="0.3">
      <c r="A37" s="14">
        <v>34</v>
      </c>
      <c r="B37" s="15">
        <f t="shared" si="1"/>
        <v>116887053.74278153</v>
      </c>
    </row>
    <row r="38" spans="1:8" x14ac:dyDescent="0.3">
      <c r="A38" s="14">
        <v>35</v>
      </c>
      <c r="B38" s="15">
        <f t="shared" si="1"/>
        <v>118602521.69771773</v>
      </c>
    </row>
    <row r="39" spans="1:8" x14ac:dyDescent="0.3">
      <c r="A39" s="14">
        <v>36</v>
      </c>
      <c r="B39" s="15">
        <f t="shared" si="1"/>
        <v>120343166.35281217</v>
      </c>
    </row>
    <row r="40" spans="1:8" x14ac:dyDescent="0.3">
      <c r="A40" s="14">
        <v>37</v>
      </c>
      <c r="B40" s="15">
        <f t="shared" si="1"/>
        <v>122109357.20854288</v>
      </c>
    </row>
    <row r="41" spans="1:8" x14ac:dyDescent="0.3">
      <c r="A41" s="14">
        <v>38</v>
      </c>
      <c r="B41" s="15">
        <f t="shared" si="1"/>
        <v>123901469.18828426</v>
      </c>
    </row>
    <row r="42" spans="1:8" x14ac:dyDescent="0.3">
      <c r="A42" s="14">
        <v>39</v>
      </c>
      <c r="B42" s="15">
        <f t="shared" si="1"/>
        <v>125719882.71789333</v>
      </c>
    </row>
    <row r="43" spans="1:8" x14ac:dyDescent="0.3">
      <c r="A43" s="14">
        <v>40</v>
      </c>
      <c r="B43" s="15">
        <f t="shared" si="1"/>
        <v>127564983.80646622</v>
      </c>
    </row>
    <row r="44" spans="1:8" x14ac:dyDescent="0.3">
      <c r="A44" s="14">
        <v>41</v>
      </c>
      <c r="B44" s="15">
        <f t="shared" si="1"/>
        <v>129437164.12827933</v>
      </c>
      <c r="G44" s="23"/>
    </row>
    <row r="45" spans="1:8" x14ac:dyDescent="0.3">
      <c r="A45" s="14">
        <v>42</v>
      </c>
      <c r="B45" s="15">
        <f t="shared" si="1"/>
        <v>131336821.1059337</v>
      </c>
      <c r="G45" s="24"/>
      <c r="H45" s="25"/>
    </row>
    <row r="46" spans="1:8" x14ac:dyDescent="0.3">
      <c r="A46" s="14">
        <v>43</v>
      </c>
      <c r="B46" s="15">
        <f t="shared" si="1"/>
        <v>133264357.99471708</v>
      </c>
      <c r="G46" s="24"/>
      <c r="H46" s="25"/>
    </row>
    <row r="47" spans="1:8" x14ac:dyDescent="0.3">
      <c r="A47" s="14">
        <v>44</v>
      </c>
      <c r="B47" s="15">
        <f t="shared" si="1"/>
        <v>135220183.96820903</v>
      </c>
      <c r="G47" s="24"/>
      <c r="H47" s="26"/>
    </row>
    <row r="48" spans="1:8" x14ac:dyDescent="0.3">
      <c r="A48" s="14">
        <v>45</v>
      </c>
      <c r="B48" s="15">
        <f t="shared" si="1"/>
        <v>137204714.20513758</v>
      </c>
    </row>
    <row r="49" spans="1:2" x14ac:dyDescent="0.3">
      <c r="A49" s="14">
        <v>46</v>
      </c>
      <c r="B49" s="15">
        <f t="shared" si="1"/>
        <v>139218369.97751287</v>
      </c>
    </row>
    <row r="50" spans="1:2" x14ac:dyDescent="0.3">
      <c r="A50" s="14">
        <v>47</v>
      </c>
      <c r="B50" s="15">
        <f t="shared" si="1"/>
        <v>141261578.74005407</v>
      </c>
    </row>
    <row r="51" spans="1:2" x14ac:dyDescent="0.3">
      <c r="A51" s="14">
        <v>48</v>
      </c>
      <c r="B51" s="15">
        <f t="shared" si="1"/>
        <v>143334774.22092897</v>
      </c>
    </row>
    <row r="52" spans="1:2" x14ac:dyDescent="0.3">
      <c r="A52" s="14">
        <v>49</v>
      </c>
      <c r="B52" s="15">
        <f t="shared" si="1"/>
        <v>145438396.51382303</v>
      </c>
    </row>
    <row r="53" spans="1:2" x14ac:dyDescent="0.3">
      <c r="A53" s="14">
        <v>50</v>
      </c>
      <c r="B53" s="15">
        <f t="shared" si="1"/>
        <v>147572892.17136437</v>
      </c>
    </row>
    <row r="54" spans="1:2" x14ac:dyDescent="0.3">
      <c r="A54" s="14">
        <v>51</v>
      </c>
      <c r="B54" s="15">
        <f t="shared" si="1"/>
        <v>149738714.29991522</v>
      </c>
    </row>
    <row r="55" spans="1:2" x14ac:dyDescent="0.3">
      <c r="A55" s="14">
        <v>52</v>
      </c>
      <c r="B55" s="15">
        <f t="shared" si="1"/>
        <v>151936322.65575689</v>
      </c>
    </row>
    <row r="56" spans="1:2" x14ac:dyDescent="0.3">
      <c r="A56" s="14">
        <v>53</v>
      </c>
      <c r="B56" s="15">
        <f t="shared" si="1"/>
        <v>154166183.74268636</v>
      </c>
    </row>
    <row r="57" spans="1:2" x14ac:dyDescent="0.3">
      <c r="A57" s="14">
        <v>54</v>
      </c>
      <c r="B57" s="15">
        <f t="shared" si="1"/>
        <v>156428770.9110426</v>
      </c>
    </row>
    <row r="58" spans="1:2" x14ac:dyDescent="0.3">
      <c r="A58" s="14">
        <v>55</v>
      </c>
      <c r="B58" s="15">
        <f t="shared" si="1"/>
        <v>158724564.45819172</v>
      </c>
    </row>
    <row r="59" spans="1:2" x14ac:dyDescent="0.3">
      <c r="A59" s="14">
        <v>56</v>
      </c>
      <c r="B59" s="15">
        <f t="shared" si="1"/>
        <v>161054051.73048127</v>
      </c>
    </row>
    <row r="60" spans="1:2" x14ac:dyDescent="0.3">
      <c r="A60" s="14">
        <v>57</v>
      </c>
      <c r="B60" s="15">
        <f t="shared" si="1"/>
        <v>163417727.22669369</v>
      </c>
    </row>
    <row r="61" spans="1:2" x14ac:dyDescent="0.3">
      <c r="A61" s="14">
        <v>58</v>
      </c>
      <c r="B61" s="15">
        <f t="shared" si="1"/>
        <v>165816092.70301813</v>
      </c>
    </row>
    <row r="62" spans="1:2" x14ac:dyDescent="0.3">
      <c r="A62" s="14">
        <v>59</v>
      </c>
      <c r="B62" s="15">
        <f t="shared" si="1"/>
        <v>168249657.27955979</v>
      </c>
    </row>
    <row r="63" spans="1:2" x14ac:dyDescent="0.3">
      <c r="A63" s="14">
        <v>60</v>
      </c>
      <c r="B63" s="15">
        <f t="shared" si="1"/>
        <v>170718937.54841855</v>
      </c>
    </row>
    <row r="64" spans="1:2" x14ac:dyDescent="0.3">
      <c r="A64" s="14">
        <v>61</v>
      </c>
      <c r="B64" s="15">
        <f t="shared" si="1"/>
        <v>173224457.68334755</v>
      </c>
    </row>
    <row r="65" spans="1:2" x14ac:dyDescent="0.3">
      <c r="A65" s="14">
        <v>62</v>
      </c>
      <c r="B65" s="15">
        <f t="shared" si="1"/>
        <v>175766749.55102444</v>
      </c>
    </row>
    <row r="66" spans="1:2" x14ac:dyDescent="0.3">
      <c r="A66" s="28">
        <v>63</v>
      </c>
      <c r="B66" s="29">
        <f t="shared" si="1"/>
        <v>178346352.82395491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2F6-C752-4917-BABA-E6352C62989E}">
  <dimension ref="A1:AH33"/>
  <sheetViews>
    <sheetView tabSelected="1" topLeftCell="A14" zoomScale="95" zoomScaleNormal="95" workbookViewId="0">
      <selection activeCell="C33" sqref="C33"/>
    </sheetView>
  </sheetViews>
  <sheetFormatPr defaultRowHeight="14.4" x14ac:dyDescent="0.3"/>
  <cols>
    <col min="1" max="1" width="5.77734375" bestFit="1" customWidth="1"/>
    <col min="2" max="2" width="12.6640625" bestFit="1" customWidth="1"/>
    <col min="3" max="3" width="12.6640625" customWidth="1"/>
    <col min="4" max="6" width="12.6640625" bestFit="1" customWidth="1"/>
    <col min="7" max="15" width="11.5546875" bestFit="1" customWidth="1"/>
    <col min="16" max="16" width="10.44140625" bestFit="1" customWidth="1"/>
    <col min="17" max="17" width="9.88671875" bestFit="1" customWidth="1"/>
    <col min="18" max="21" width="10.44140625" bestFit="1" customWidth="1"/>
    <col min="22" max="22" width="9.88671875" bestFit="1" customWidth="1"/>
    <col min="23" max="25" width="10.44140625" bestFit="1" customWidth="1"/>
    <col min="26" max="27" width="9.88671875" bestFit="1" customWidth="1"/>
    <col min="28" max="28" width="10.44140625" bestFit="1" customWidth="1"/>
    <col min="29" max="29" width="11.5546875" bestFit="1" customWidth="1"/>
    <col min="30" max="30" width="9.88671875" bestFit="1" customWidth="1"/>
    <col min="31" max="31" width="11.5546875" bestFit="1" customWidth="1"/>
    <col min="32" max="33" width="8.77734375" bestFit="1" customWidth="1"/>
    <col min="34" max="34" width="12.6640625" bestFit="1" customWidth="1"/>
  </cols>
  <sheetData>
    <row r="1" spans="1:34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</row>
    <row r="2" spans="1:34" ht="15" x14ac:dyDescent="0.35">
      <c r="A2" s="5">
        <v>1993</v>
      </c>
      <c r="B2" s="7">
        <v>6185001.3499999996</v>
      </c>
      <c r="C2" s="7">
        <v>16477635.4375</v>
      </c>
      <c r="D2" s="7">
        <v>14560231.9708333</v>
      </c>
      <c r="E2" s="7">
        <v>5980859.174999997</v>
      </c>
      <c r="F2" s="7">
        <v>5529084.2124999985</v>
      </c>
      <c r="G2" s="7">
        <v>3312719.0541667044</v>
      </c>
      <c r="H2" s="7">
        <v>2256913.491666697</v>
      </c>
      <c r="I2" s="7">
        <v>563467.88333330303</v>
      </c>
      <c r="J2" s="7">
        <v>381601.37083330005</v>
      </c>
      <c r="K2" s="7">
        <v>354459.22499999404</v>
      </c>
      <c r="L2" s="7">
        <v>413748.55000000447</v>
      </c>
      <c r="M2" s="7">
        <v>8314.295833401382</v>
      </c>
      <c r="N2" s="7">
        <v>3432266.4808332995</v>
      </c>
      <c r="O2" s="7">
        <v>2154378.7566666976</v>
      </c>
      <c r="P2" s="7">
        <v>475838.73333329707</v>
      </c>
      <c r="Q2" s="7">
        <v>320420.25416669995</v>
      </c>
      <c r="R2" s="7">
        <v>-17609.5</v>
      </c>
      <c r="S2" s="7">
        <v>18012.208333306015</v>
      </c>
      <c r="T2" s="7">
        <v>-139674.46250000596</v>
      </c>
      <c r="U2" s="7">
        <v>8973.6916666999459</v>
      </c>
      <c r="V2" s="7">
        <v>14802.57500000298</v>
      </c>
      <c r="W2" s="7">
        <v>8443.375</v>
      </c>
      <c r="X2" s="7">
        <v>11444.545833297074</v>
      </c>
      <c r="Y2" s="7">
        <v>32684.08750000596</v>
      </c>
      <c r="Z2" s="7">
        <v>-5517.6583333015442</v>
      </c>
      <c r="AA2" s="7">
        <v>257579.30833330005</v>
      </c>
      <c r="AB2" s="7">
        <v>128459.40416669846</v>
      </c>
      <c r="AC2" s="7">
        <v>63484.53750000149</v>
      </c>
      <c r="AD2" s="7">
        <v>436267.60000000149</v>
      </c>
      <c r="AE2" s="7">
        <v>120003.07916659862</v>
      </c>
      <c r="AF2" s="7">
        <v>87909.9375</v>
      </c>
      <c r="AG2" s="8">
        <v>56991.479166701436</v>
      </c>
      <c r="AH2" s="27">
        <f>r_table!$C$34*lambda!$B$35</f>
        <v>253225.76967281397</v>
      </c>
    </row>
    <row r="3" spans="1:34" ht="15" x14ac:dyDescent="0.35">
      <c r="A3" s="5">
        <v>1994</v>
      </c>
      <c r="B3" s="7">
        <v>8447485.8291666675</v>
      </c>
      <c r="C3" s="7">
        <v>18221786.454166632</v>
      </c>
      <c r="D3" s="7">
        <v>13080926.875</v>
      </c>
      <c r="E3" s="7">
        <v>9339048.1875</v>
      </c>
      <c r="F3" s="7">
        <v>5472914.304166697</v>
      </c>
      <c r="G3" s="7">
        <v>4401312.0041666999</v>
      </c>
      <c r="H3" s="7">
        <v>1609329.7416667044</v>
      </c>
      <c r="I3" s="7">
        <v>1273875.6208333001</v>
      </c>
      <c r="J3" s="7">
        <v>907188.76666659862</v>
      </c>
      <c r="K3" s="7">
        <v>496264.77916669846</v>
      </c>
      <c r="L3" s="7">
        <v>-194896.70416659862</v>
      </c>
      <c r="M3" s="7">
        <v>4427947.547499992</v>
      </c>
      <c r="N3" s="7">
        <v>2974417.0191666037</v>
      </c>
      <c r="O3" s="7">
        <v>325981.52083340287</v>
      </c>
      <c r="P3" s="7">
        <v>238501.91249999404</v>
      </c>
      <c r="Q3" s="7">
        <v>48641.779166609049</v>
      </c>
      <c r="R3" s="7">
        <v>-49755.008333295584</v>
      </c>
      <c r="S3" s="7">
        <v>309883.2541666925</v>
      </c>
      <c r="T3" s="7">
        <v>93747.8125</v>
      </c>
      <c r="U3" s="7">
        <v>77321.795833304524</v>
      </c>
      <c r="V3" s="7">
        <v>3981.2666666954756</v>
      </c>
      <c r="W3" s="7">
        <v>-10493.633333399892</v>
      </c>
      <c r="X3" s="7">
        <v>47916.908333405852</v>
      </c>
      <c r="Y3" s="7">
        <v>-39350.679166704416</v>
      </c>
      <c r="Z3" s="7">
        <v>192029.8125</v>
      </c>
      <c r="AA3" s="7">
        <v>149703.09999999404</v>
      </c>
      <c r="AB3" s="7">
        <v>239841.54166670144</v>
      </c>
      <c r="AC3" s="7">
        <v>432359.25833331048</v>
      </c>
      <c r="AD3" s="7">
        <v>37580.641666695476</v>
      </c>
      <c r="AE3" s="7">
        <v>97285.16249999404</v>
      </c>
      <c r="AF3" s="8">
        <v>13587.11249999702</v>
      </c>
      <c r="AG3" s="27">
        <v>48815.611457570667</v>
      </c>
      <c r="AH3" s="27">
        <f>r_table!$C$34*lambda!$B$36</f>
        <v>256942.18376084199</v>
      </c>
    </row>
    <row r="4" spans="1:34" ht="15" x14ac:dyDescent="0.35">
      <c r="A4" s="5">
        <v>1995</v>
      </c>
      <c r="B4" s="7">
        <v>9650006.4791666679</v>
      </c>
      <c r="C4" s="7">
        <v>16522194.070833331</v>
      </c>
      <c r="D4" s="7">
        <v>17457693.762499999</v>
      </c>
      <c r="E4" s="7">
        <v>11444316.554166697</v>
      </c>
      <c r="F4" s="7">
        <v>6939979.2958333045</v>
      </c>
      <c r="G4" s="7">
        <v>3200753.5958333015</v>
      </c>
      <c r="H4" s="7">
        <v>2332552.279166691</v>
      </c>
      <c r="I4" s="7">
        <v>1232889.4916667044</v>
      </c>
      <c r="J4" s="7">
        <v>1321795.2041666061</v>
      </c>
      <c r="K4" s="7">
        <v>266029.18333339691</v>
      </c>
      <c r="L4" s="7">
        <v>5288806.1208332926</v>
      </c>
      <c r="M4" s="7">
        <v>3793962.8958332986</v>
      </c>
      <c r="N4" s="7">
        <v>76986.0625</v>
      </c>
      <c r="O4" s="7">
        <v>126728.28750000894</v>
      </c>
      <c r="P4" s="7">
        <v>108178.66249999404</v>
      </c>
      <c r="Q4" s="7">
        <v>95223.616666704416</v>
      </c>
      <c r="R4" s="7">
        <v>65879.429166704416</v>
      </c>
      <c r="S4" s="7">
        <v>139290.28749999404</v>
      </c>
      <c r="T4" s="7">
        <v>22683.595833301544</v>
      </c>
      <c r="U4" s="7">
        <v>4405.0708332955837</v>
      </c>
      <c r="V4" s="7">
        <v>-19968.058333292603</v>
      </c>
      <c r="W4" s="7">
        <v>266833.01666669548</v>
      </c>
      <c r="X4" s="7">
        <v>211917.67499990761</v>
      </c>
      <c r="Y4" s="7">
        <v>144487.36249999702</v>
      </c>
      <c r="Z4" s="7">
        <v>17730.16249999404</v>
      </c>
      <c r="AA4" s="7">
        <v>55571.21250000596</v>
      </c>
      <c r="AB4" s="7">
        <v>-141507.56666660309</v>
      </c>
      <c r="AC4" s="7">
        <v>1014278.487499997</v>
      </c>
      <c r="AD4" s="7">
        <v>220247.10833330452</v>
      </c>
      <c r="AE4" s="8">
        <v>2230937.2416667044</v>
      </c>
      <c r="AF4" s="27">
        <v>44401.715182657244</v>
      </c>
      <c r="AG4" s="27">
        <v>49532.043384585937</v>
      </c>
      <c r="AH4" s="27">
        <f>r_table!$C$34*lambda!$B$37</f>
        <v>260713.1410088792</v>
      </c>
    </row>
    <row r="5" spans="1:34" ht="15" x14ac:dyDescent="0.35">
      <c r="A5" s="5">
        <v>1996</v>
      </c>
      <c r="B5" s="7">
        <v>8642833.6000000015</v>
      </c>
      <c r="C5" s="7">
        <v>19031349.899999999</v>
      </c>
      <c r="D5" s="7">
        <v>18760633.545833297</v>
      </c>
      <c r="E5" s="7">
        <v>15239411.8125</v>
      </c>
      <c r="F5" s="7">
        <v>6578459.3000001088</v>
      </c>
      <c r="G5" s="7">
        <v>2866937.5666665882</v>
      </c>
      <c r="H5" s="7">
        <v>2021820.150000006</v>
      </c>
      <c r="I5" s="7">
        <v>1112610.125</v>
      </c>
      <c r="J5" s="7">
        <v>621762.89166669548</v>
      </c>
      <c r="K5" s="7">
        <v>5209226.075000003</v>
      </c>
      <c r="L5" s="7">
        <v>3362432.0333333015</v>
      </c>
      <c r="M5" s="7">
        <v>108998.36249999702</v>
      </c>
      <c r="N5" s="7">
        <v>70171.916666701436</v>
      </c>
      <c r="O5" s="7">
        <v>291897.34583330154</v>
      </c>
      <c r="P5" s="7">
        <v>36002.516666695476</v>
      </c>
      <c r="Q5" s="7">
        <v>-19398.808333396912</v>
      </c>
      <c r="R5" s="7">
        <v>70163.395833402872</v>
      </c>
      <c r="S5" s="7">
        <v>51373.866666600108</v>
      </c>
      <c r="T5" s="7">
        <v>-4650.4208333045244</v>
      </c>
      <c r="U5" s="7">
        <v>-174161.75</v>
      </c>
      <c r="V5" s="7">
        <v>141948.08750000596</v>
      </c>
      <c r="W5" s="7">
        <v>-32868.895833298564</v>
      </c>
      <c r="X5" s="7">
        <v>132517.9958332926</v>
      </c>
      <c r="Y5" s="7">
        <v>30104.845833301544</v>
      </c>
      <c r="Z5" s="7">
        <v>181710.97083340585</v>
      </c>
      <c r="AA5" s="7">
        <v>207623.60416670144</v>
      </c>
      <c r="AB5" s="7">
        <v>110844.57083329558</v>
      </c>
      <c r="AC5" s="7">
        <v>-201248.82083329558</v>
      </c>
      <c r="AD5" s="8">
        <v>-21538.608333408833</v>
      </c>
      <c r="AE5" s="27">
        <v>733006.10147034121</v>
      </c>
      <c r="AF5" s="27">
        <v>45053.367500865803</v>
      </c>
      <c r="AG5" s="27">
        <v>50258.989872224774</v>
      </c>
      <c r="AH5" s="27">
        <f>r_table!$C$34*lambda!$B$38</f>
        <v>264539.44190799922</v>
      </c>
    </row>
    <row r="6" spans="1:34" ht="15" x14ac:dyDescent="0.35">
      <c r="A6" s="5">
        <v>1997</v>
      </c>
      <c r="B6" s="7">
        <v>8686941.6291666664</v>
      </c>
      <c r="C6" s="7">
        <v>19909836.016666628</v>
      </c>
      <c r="D6" s="7">
        <v>22485374.304166704</v>
      </c>
      <c r="E6" s="7">
        <v>15075554.070833296</v>
      </c>
      <c r="F6" s="7">
        <v>7405927.1791667044</v>
      </c>
      <c r="G6" s="7">
        <v>3901722.6499999911</v>
      </c>
      <c r="H6" s="7">
        <v>3286638.712500006</v>
      </c>
      <c r="I6" s="7">
        <v>2634937.450000003</v>
      </c>
      <c r="J6" s="7">
        <v>7109092.3366667032</v>
      </c>
      <c r="K6" s="7">
        <v>4634500.6883332878</v>
      </c>
      <c r="L6" s="7">
        <v>1026714.9750000089</v>
      </c>
      <c r="M6" s="7">
        <v>437357.64583340287</v>
      </c>
      <c r="N6" s="7">
        <v>69066.429166600108</v>
      </c>
      <c r="O6" s="7">
        <v>32164.274999991059</v>
      </c>
      <c r="P6" s="7">
        <v>-7351.4916666001081</v>
      </c>
      <c r="Q6" s="7">
        <v>410299.32083331048</v>
      </c>
      <c r="R6" s="7">
        <v>9912.625</v>
      </c>
      <c r="S6" s="7">
        <v>14720.204166695476</v>
      </c>
      <c r="T6" s="7">
        <v>20299.391666591167</v>
      </c>
      <c r="U6" s="7">
        <v>-288082.51666659117</v>
      </c>
      <c r="V6" s="7">
        <v>139883.33749999106</v>
      </c>
      <c r="W6" s="7">
        <v>231581.50416660309</v>
      </c>
      <c r="X6" s="7">
        <v>153685.75833339989</v>
      </c>
      <c r="Y6" s="7">
        <v>-26352.016666695476</v>
      </c>
      <c r="Z6" s="7">
        <v>108768.89166669548</v>
      </c>
      <c r="AA6" s="7">
        <v>-52373.70000000298</v>
      </c>
      <c r="AB6" s="7">
        <v>230869.02083331347</v>
      </c>
      <c r="AC6" s="8">
        <v>87368.270833298564</v>
      </c>
      <c r="AD6" s="27">
        <v>159008.78344162024</v>
      </c>
      <c r="AE6" s="27">
        <v>743763.9094360735</v>
      </c>
      <c r="AF6" s="27">
        <v>45714.58365556311</v>
      </c>
      <c r="AG6" s="27">
        <v>50996.605235197239</v>
      </c>
      <c r="AH6" s="27">
        <f>r_table!$C$34*lambda!$B$39</f>
        <v>268421.89869751356</v>
      </c>
    </row>
    <row r="7" spans="1:34" ht="15" x14ac:dyDescent="0.35">
      <c r="A7" s="5">
        <v>1998</v>
      </c>
      <c r="B7" s="7">
        <v>8406470.9874999989</v>
      </c>
      <c r="C7" s="7">
        <v>25162915.441666696</v>
      </c>
      <c r="D7" s="7">
        <v>22656529.087500006</v>
      </c>
      <c r="E7" s="7">
        <v>13630976.020833291</v>
      </c>
      <c r="F7" s="7">
        <v>7461708.8583333045</v>
      </c>
      <c r="G7" s="7">
        <v>5146815.4375</v>
      </c>
      <c r="H7" s="7">
        <v>2797277.2708334029</v>
      </c>
      <c r="I7" s="7">
        <v>6615800.1400000006</v>
      </c>
      <c r="J7" s="7">
        <v>5156163.043333292</v>
      </c>
      <c r="K7" s="7">
        <v>576774.49583341181</v>
      </c>
      <c r="L7" s="7">
        <v>446935.65833330154</v>
      </c>
      <c r="M7" s="7">
        <v>-27826.916666701436</v>
      </c>
      <c r="N7" s="7">
        <v>-40111.645833298564</v>
      </c>
      <c r="O7" s="7">
        <v>149157.4958332926</v>
      </c>
      <c r="P7" s="7">
        <v>130596.79999999702</v>
      </c>
      <c r="Q7" s="7">
        <v>48704.716666698456</v>
      </c>
      <c r="R7" s="7">
        <v>23052.266666710377</v>
      </c>
      <c r="S7" s="7">
        <v>50751.291666597128</v>
      </c>
      <c r="T7" s="7">
        <v>227387.77916669846</v>
      </c>
      <c r="U7" s="7">
        <v>58269.058333292603</v>
      </c>
      <c r="V7" s="7">
        <v>240753.6916667074</v>
      </c>
      <c r="W7" s="7">
        <v>155559.54166670144</v>
      </c>
      <c r="X7" s="7">
        <v>116799.22916659713</v>
      </c>
      <c r="Y7" s="7">
        <v>411442.94583339989</v>
      </c>
      <c r="Z7" s="7">
        <v>94765.98749999702</v>
      </c>
      <c r="AA7" s="7">
        <v>391869.40833359957</v>
      </c>
      <c r="AB7" s="8">
        <v>520689.68333300948</v>
      </c>
      <c r="AC7" s="27">
        <v>283727.0130997388</v>
      </c>
      <c r="AD7" s="27">
        <v>161342.44199329993</v>
      </c>
      <c r="AE7" s="27">
        <v>754679.60207970347</v>
      </c>
      <c r="AF7" s="27">
        <v>46385.504008358912</v>
      </c>
      <c r="AG7" s="27">
        <v>51745.046052980593</v>
      </c>
      <c r="AH7" s="27">
        <f>r_table!$C$34*lambda!$B$40</f>
        <v>272361.33553738811</v>
      </c>
    </row>
    <row r="8" spans="1:34" ht="15" x14ac:dyDescent="0.35">
      <c r="A8" s="5">
        <v>1999</v>
      </c>
      <c r="B8" s="7">
        <v>9854142.645833334</v>
      </c>
      <c r="C8" s="7">
        <v>23647618.295833372</v>
      </c>
      <c r="D8" s="7">
        <v>24180859.200000003</v>
      </c>
      <c r="E8" s="7">
        <v>14330344.012499996</v>
      </c>
      <c r="F8" s="7">
        <v>7434268.2291665971</v>
      </c>
      <c r="G8" s="7">
        <v>4660789.9375</v>
      </c>
      <c r="H8" s="7">
        <v>8691885.0433334112</v>
      </c>
      <c r="I8" s="7">
        <v>6550047.5899999887</v>
      </c>
      <c r="J8" s="7">
        <v>345095.39166660607</v>
      </c>
      <c r="K8" s="7">
        <v>366237.67083369195</v>
      </c>
      <c r="L8" s="7">
        <v>301319.92916600406</v>
      </c>
      <c r="M8" s="7">
        <v>330908.72916699946</v>
      </c>
      <c r="N8" s="7">
        <v>191183.78333300352</v>
      </c>
      <c r="O8" s="7">
        <v>260247.53749999404</v>
      </c>
      <c r="P8" s="7">
        <v>257508.65416701138</v>
      </c>
      <c r="Q8" s="7">
        <v>51477.354166999459</v>
      </c>
      <c r="R8" s="7">
        <v>95832.479166001081</v>
      </c>
      <c r="S8" s="7">
        <v>204268.4541669935</v>
      </c>
      <c r="T8" s="7">
        <v>-98399.708333000541</v>
      </c>
      <c r="U8" s="7">
        <v>218711.81666600704</v>
      </c>
      <c r="V8" s="7">
        <v>5082.3708339929581</v>
      </c>
      <c r="W8" s="7">
        <v>9971.8833329975605</v>
      </c>
      <c r="X8" s="7">
        <v>189076.72083300352</v>
      </c>
      <c r="Y8" s="7">
        <v>-246687.42499999702</v>
      </c>
      <c r="Z8" s="7">
        <v>149219.02083399892</v>
      </c>
      <c r="AA8" s="8">
        <v>-64571.412500008941</v>
      </c>
      <c r="AB8" s="27">
        <v>187653.66797702122</v>
      </c>
      <c r="AC8" s="27">
        <v>287891.07219214638</v>
      </c>
      <c r="AD8" s="27">
        <v>163710.34998779633</v>
      </c>
      <c r="AE8" s="27">
        <v>765755.49656208698</v>
      </c>
      <c r="AF8" s="27">
        <v>47066.270980850401</v>
      </c>
      <c r="AG8" s="27">
        <v>52504.47120305687</v>
      </c>
      <c r="AH8" s="27">
        <f>r_table!$C$34*lambda!$B$41</f>
        <v>276358.58868320001</v>
      </c>
    </row>
    <row r="9" spans="1:34" ht="15" x14ac:dyDescent="0.35">
      <c r="A9" s="5">
        <v>2000</v>
      </c>
      <c r="B9" s="7">
        <v>7989981.5625</v>
      </c>
      <c r="C9" s="7">
        <v>25430738.216666698</v>
      </c>
      <c r="D9" s="7">
        <v>27353233.149999999</v>
      </c>
      <c r="E9" s="7">
        <v>16004588.07500001</v>
      </c>
      <c r="F9" s="7">
        <v>7856434.0666665882</v>
      </c>
      <c r="G9" s="7">
        <v>9498224.049999997</v>
      </c>
      <c r="H9" s="7">
        <v>8513744.4083337039</v>
      </c>
      <c r="I9" s="7">
        <v>550750.8583330065</v>
      </c>
      <c r="J9" s="7">
        <v>647738.6875</v>
      </c>
      <c r="K9" s="7">
        <v>256337.73749999702</v>
      </c>
      <c r="L9" s="7">
        <v>135466.40833300352</v>
      </c>
      <c r="M9" s="7">
        <v>67299.53749999404</v>
      </c>
      <c r="N9" s="7">
        <v>244410.39583399892</v>
      </c>
      <c r="O9" s="7">
        <v>75783.229166001081</v>
      </c>
      <c r="P9" s="7">
        <v>-29457.591665998101</v>
      </c>
      <c r="Q9" s="7">
        <v>33804.416666001081</v>
      </c>
      <c r="R9" s="7">
        <v>159978.69583399594</v>
      </c>
      <c r="S9" s="7">
        <v>-45107.195833995938</v>
      </c>
      <c r="T9" s="7">
        <v>105445.97916699946</v>
      </c>
      <c r="U9" s="7">
        <v>-18603.429167002439</v>
      </c>
      <c r="V9" s="7">
        <v>-43168.691665992141</v>
      </c>
      <c r="W9" s="7">
        <v>84060.445832997561</v>
      </c>
      <c r="X9" s="7">
        <v>-137247.57083299756</v>
      </c>
      <c r="Y9" s="7">
        <v>601.18333299458027</v>
      </c>
      <c r="Z9" s="8">
        <v>-45979.395833000541</v>
      </c>
      <c r="AA9" s="27">
        <v>141728.57149508811</v>
      </c>
      <c r="AB9" s="27">
        <v>190407.72707709239</v>
      </c>
      <c r="AC9" s="27">
        <v>292116.24421115068</v>
      </c>
      <c r="AD9" s="27">
        <v>166113.01007976392</v>
      </c>
      <c r="AE9" s="27">
        <v>776993.94405140064</v>
      </c>
      <c r="AF9" s="27">
        <v>47757.029084854526</v>
      </c>
      <c r="AG9" s="27">
        <v>53275.041894640213</v>
      </c>
      <c r="AH9" s="27">
        <f>r_table!$C$34*lambda!$B$42</f>
        <v>280414.50666365214</v>
      </c>
    </row>
    <row r="10" spans="1:34" ht="15" x14ac:dyDescent="0.35">
      <c r="A10" s="5">
        <v>2001</v>
      </c>
      <c r="B10" s="7">
        <v>9140247.9958333336</v>
      </c>
      <c r="C10" s="7">
        <v>28191547.466666669</v>
      </c>
      <c r="D10" s="7">
        <v>27378808.820833303</v>
      </c>
      <c r="E10" s="7">
        <v>13806114.954166695</v>
      </c>
      <c r="F10" s="7">
        <v>10199190.474166706</v>
      </c>
      <c r="G10" s="7">
        <v>8945031.3424998969</v>
      </c>
      <c r="H10" s="7">
        <v>1574128.6541666985</v>
      </c>
      <c r="I10" s="7">
        <v>721664.59583330154</v>
      </c>
      <c r="J10" s="7">
        <v>541866.90833340585</v>
      </c>
      <c r="K10" s="7">
        <v>326702.45833300054</v>
      </c>
      <c r="L10" s="7">
        <v>45706.329166993499</v>
      </c>
      <c r="M10" s="7">
        <v>376055.52916699648</v>
      </c>
      <c r="N10" s="7">
        <v>365626.35416600108</v>
      </c>
      <c r="O10" s="7">
        <v>42859.0166670084</v>
      </c>
      <c r="P10" s="7">
        <v>-97768.9375</v>
      </c>
      <c r="Q10" s="7">
        <v>294195.0791669935</v>
      </c>
      <c r="R10" s="7">
        <v>333312.38333299756</v>
      </c>
      <c r="S10" s="7">
        <v>-140426.28333300352</v>
      </c>
      <c r="T10" s="7">
        <v>-185007.25</v>
      </c>
      <c r="U10" s="7">
        <v>222077.341666013</v>
      </c>
      <c r="V10" s="7">
        <v>-16202.220833003521</v>
      </c>
      <c r="W10" s="7">
        <v>-51879.770833000541</v>
      </c>
      <c r="X10" s="7">
        <v>68821.066665992141</v>
      </c>
      <c r="Y10" s="8">
        <v>76698.56666700542</v>
      </c>
      <c r="Z10" s="27">
        <v>91140.137724066764</v>
      </c>
      <c r="AA10" s="27">
        <v>143808.62069569278</v>
      </c>
      <c r="AB10" s="27">
        <v>193202.20553911079</v>
      </c>
      <c r="AC10" s="27">
        <v>296403.42606760579</v>
      </c>
      <c r="AD10" s="27">
        <v>168550.93230096198</v>
      </c>
      <c r="AE10" s="27">
        <v>788397.33022223203</v>
      </c>
      <c r="AF10" s="27">
        <v>48457.924953085647</v>
      </c>
      <c r="AG10" s="27">
        <v>54056.921702897278</v>
      </c>
      <c r="AH10" s="27">
        <f>r_table!$C$34*lambda!$B$43</f>
        <v>284529.9504606984</v>
      </c>
    </row>
    <row r="11" spans="1:34" ht="15" x14ac:dyDescent="0.35">
      <c r="A11" s="5">
        <v>2002</v>
      </c>
      <c r="B11" s="7">
        <v>8982265.8041666672</v>
      </c>
      <c r="C11" s="7">
        <v>26024944.675000031</v>
      </c>
      <c r="D11" s="7">
        <v>22597901.1166666</v>
      </c>
      <c r="E11" s="7">
        <v>18430603.145833403</v>
      </c>
      <c r="F11" s="7">
        <v>14520185.91249989</v>
      </c>
      <c r="G11" s="7">
        <v>3942765.6791667044</v>
      </c>
      <c r="H11" s="7">
        <v>1548771.0916666985</v>
      </c>
      <c r="I11" s="7">
        <v>1253550.2958333045</v>
      </c>
      <c r="J11" s="7">
        <v>1390959.7666666955</v>
      </c>
      <c r="K11" s="7">
        <v>384274.54999999702</v>
      </c>
      <c r="L11" s="7">
        <v>204187.92500001192</v>
      </c>
      <c r="M11" s="7">
        <v>144700.83333329856</v>
      </c>
      <c r="N11" s="7">
        <v>-199751.96666660905</v>
      </c>
      <c r="O11" s="7">
        <v>94328.26250000298</v>
      </c>
      <c r="P11" s="7">
        <v>146297.99999989569</v>
      </c>
      <c r="Q11" s="7">
        <v>64499.758333399892</v>
      </c>
      <c r="R11" s="7">
        <v>-51463.370833396912</v>
      </c>
      <c r="S11" s="7">
        <v>339122.3125</v>
      </c>
      <c r="T11" s="7">
        <v>97413.291666701436</v>
      </c>
      <c r="U11" s="7">
        <v>330723.42916670442</v>
      </c>
      <c r="V11" s="7">
        <v>246303.95833300054</v>
      </c>
      <c r="W11" s="7">
        <v>-146752.03750000894</v>
      </c>
      <c r="X11" s="8">
        <v>-15382.416666001081</v>
      </c>
      <c r="Y11" s="27">
        <v>45366.311150109577</v>
      </c>
      <c r="Z11" s="27">
        <v>92477.736548468325</v>
      </c>
      <c r="AA11" s="27">
        <v>145919.19729547529</v>
      </c>
      <c r="AB11" s="27">
        <v>196037.69656923533</v>
      </c>
      <c r="AC11" s="27">
        <v>300753.52783568809</v>
      </c>
      <c r="AD11" s="27">
        <v>171024.6341685204</v>
      </c>
      <c r="AE11" s="27">
        <v>799968.07576202217</v>
      </c>
      <c r="AF11" s="27">
        <v>49169.107370281745</v>
      </c>
      <c r="AG11" s="27">
        <v>54850.276603670813</v>
      </c>
      <c r="AH11" s="27">
        <f>r_table!$C$34*lambda!$B$44</f>
        <v>288705.79369231081</v>
      </c>
    </row>
    <row r="12" spans="1:34" ht="15" x14ac:dyDescent="0.35">
      <c r="A12" s="5">
        <v>2003</v>
      </c>
      <c r="B12" s="7">
        <v>9310300.7583333347</v>
      </c>
      <c r="C12" s="7">
        <v>27678380.787499957</v>
      </c>
      <c r="D12" s="7">
        <v>29991243.956666701</v>
      </c>
      <c r="E12" s="7">
        <v>28606759.422499999</v>
      </c>
      <c r="F12" s="7">
        <v>7488319.450000003</v>
      </c>
      <c r="G12" s="7">
        <v>4140754.987499997</v>
      </c>
      <c r="H12" s="7">
        <v>2162205.2333330065</v>
      </c>
      <c r="I12" s="7">
        <v>1792781.5874999911</v>
      </c>
      <c r="J12" s="7">
        <v>853219.875</v>
      </c>
      <c r="K12" s="7">
        <v>538623.20833399892</v>
      </c>
      <c r="L12" s="7">
        <v>5334.6416660100222</v>
      </c>
      <c r="M12" s="7">
        <v>-20554.341665998101</v>
      </c>
      <c r="N12" s="7">
        <v>-216292.6875</v>
      </c>
      <c r="O12" s="7">
        <v>290401.28333298862</v>
      </c>
      <c r="P12" s="7">
        <v>121901.9375</v>
      </c>
      <c r="Q12" s="7">
        <v>300975.96250000596</v>
      </c>
      <c r="R12" s="7">
        <v>418184.05416700244</v>
      </c>
      <c r="S12" s="7">
        <v>56560.91249999404</v>
      </c>
      <c r="T12" s="7">
        <v>645350.39583300054</v>
      </c>
      <c r="U12" s="7">
        <v>-41861.57500000298</v>
      </c>
      <c r="V12" s="7">
        <v>252788.7333330065</v>
      </c>
      <c r="W12" s="8">
        <v>-26518.633332997561</v>
      </c>
      <c r="X12" s="27">
        <v>83112.619673505978</v>
      </c>
      <c r="Y12" s="27">
        <v>46032.120155638411</v>
      </c>
      <c r="Z12" s="27">
        <v>93834.96635719492</v>
      </c>
      <c r="AA12" s="27">
        <v>148060.74932330934</v>
      </c>
      <c r="AB12" s="27">
        <v>198914.80207968951</v>
      </c>
      <c r="AC12" s="27">
        <v>305167.47294608055</v>
      </c>
      <c r="AD12" s="27">
        <v>173534.64079480089</v>
      </c>
      <c r="AE12" s="27">
        <v>811708.63688491273</v>
      </c>
      <c r="AF12" s="27">
        <v>49890.72730478835</v>
      </c>
      <c r="AG12" s="27">
        <v>55655.275008712691</v>
      </c>
      <c r="AH12" s="27">
        <f>r_table!$C$34*lambda!$B$45</f>
        <v>292942.92279793072</v>
      </c>
    </row>
    <row r="13" spans="1:34" ht="15" x14ac:dyDescent="0.35">
      <c r="A13" s="5">
        <v>2004</v>
      </c>
      <c r="B13" s="7">
        <v>9772040.8750000019</v>
      </c>
      <c r="C13" s="7">
        <v>24428531.947499998</v>
      </c>
      <c r="D13" s="7">
        <v>29186166.744166702</v>
      </c>
      <c r="E13" s="7">
        <v>12339173.475000001</v>
      </c>
      <c r="F13" s="7">
        <v>6295390.5416665971</v>
      </c>
      <c r="G13" s="7">
        <v>3499832.3541667014</v>
      </c>
      <c r="H13" s="7">
        <v>1765530.2708332986</v>
      </c>
      <c r="I13" s="7">
        <v>2222932.5166666955</v>
      </c>
      <c r="J13" s="7">
        <v>845441.14583329856</v>
      </c>
      <c r="K13" s="7">
        <v>1061503.9833334088</v>
      </c>
      <c r="L13" s="7">
        <v>-42596.391666695476</v>
      </c>
      <c r="M13" s="7">
        <v>104790.86666668952</v>
      </c>
      <c r="N13" s="7">
        <v>423100.60416659713</v>
      </c>
      <c r="O13" s="7">
        <v>989733.3125</v>
      </c>
      <c r="P13" s="7">
        <v>-224892.80416658521</v>
      </c>
      <c r="Q13" s="7">
        <v>-39029.0625</v>
      </c>
      <c r="R13" s="7">
        <v>175268.17916658521</v>
      </c>
      <c r="S13" s="7">
        <v>-56569</v>
      </c>
      <c r="T13" s="7">
        <v>-241677.29166659713</v>
      </c>
      <c r="U13" s="7">
        <v>-62727.504166692495</v>
      </c>
      <c r="V13" s="8">
        <v>582711.3791666925</v>
      </c>
      <c r="W13" s="27">
        <v>49435.275038880995</v>
      </c>
      <c r="X13" s="27">
        <v>84332.404338576322</v>
      </c>
      <c r="Y13" s="27">
        <v>46707.700765263005</v>
      </c>
      <c r="Z13" s="27">
        <v>95212.115260207836</v>
      </c>
      <c r="AA13" s="27">
        <v>150233.73138346948</v>
      </c>
      <c r="AB13" s="27">
        <v>201834.13281653132</v>
      </c>
      <c r="AC13" s="27">
        <v>309646.19838200329</v>
      </c>
      <c r="AD13" s="27">
        <v>176081.48499886424</v>
      </c>
      <c r="AE13" s="27">
        <v>823621.50585314957</v>
      </c>
      <c r="AF13" s="27">
        <v>50622.937940605749</v>
      </c>
      <c r="AG13" s="27">
        <v>56472.087801434216</v>
      </c>
      <c r="AH13" s="27">
        <f>r_table!$C$34*lambda!$B$46</f>
        <v>297242.23722663609</v>
      </c>
    </row>
    <row r="14" spans="1:34" ht="15" x14ac:dyDescent="0.35">
      <c r="A14" s="5">
        <v>2005</v>
      </c>
      <c r="B14" s="7">
        <v>7680670.4825000018</v>
      </c>
      <c r="C14" s="7">
        <v>28445937.821666695</v>
      </c>
      <c r="D14" s="7">
        <v>20063968.124999903</v>
      </c>
      <c r="E14" s="7">
        <v>12461958.491666704</v>
      </c>
      <c r="F14" s="7">
        <v>5697469.2124999911</v>
      </c>
      <c r="G14" s="7">
        <v>2991454.7791666985</v>
      </c>
      <c r="H14" s="7">
        <v>1286812.775000006</v>
      </c>
      <c r="I14" s="7">
        <v>732222.49166660011</v>
      </c>
      <c r="J14" s="7">
        <v>897877.91250009835</v>
      </c>
      <c r="K14" s="7">
        <v>1957395.8874998987</v>
      </c>
      <c r="L14" s="7">
        <v>739731.41666670144</v>
      </c>
      <c r="M14" s="7">
        <v>-432290.29999999702</v>
      </c>
      <c r="N14" s="7">
        <v>5207.3499999940395</v>
      </c>
      <c r="O14" s="7">
        <v>83630.841666698456</v>
      </c>
      <c r="P14" s="7">
        <v>-82847.554166689515</v>
      </c>
      <c r="Q14" s="7">
        <v>130200.35833339393</v>
      </c>
      <c r="R14" s="7">
        <v>395892.26250000298</v>
      </c>
      <c r="S14" s="7">
        <v>206535.9333332926</v>
      </c>
      <c r="T14" s="7">
        <v>47990.470833301544</v>
      </c>
      <c r="U14" s="8">
        <v>-123572.6875</v>
      </c>
      <c r="V14" s="27">
        <v>145183.49704443972</v>
      </c>
      <c r="W14" s="27">
        <v>50160.80132649943</v>
      </c>
      <c r="X14" s="27">
        <v>85570.090913549007</v>
      </c>
      <c r="Y14" s="27">
        <v>47393.196389850134</v>
      </c>
      <c r="Z14" s="27">
        <v>96609.475595853262</v>
      </c>
      <c r="AA14" s="27">
        <v>152438.60475213159</v>
      </c>
      <c r="AB14" s="27">
        <v>204796.30848930535</v>
      </c>
      <c r="AC14" s="27">
        <v>314190.65487810987</v>
      </c>
      <c r="AD14" s="27">
        <v>178665.70741957679</v>
      </c>
      <c r="AE14" s="27">
        <v>835709.21150613448</v>
      </c>
      <c r="AF14" s="27">
        <v>51365.894709906795</v>
      </c>
      <c r="AG14" s="27">
        <v>57300.888373180052</v>
      </c>
      <c r="AH14" s="27">
        <f>r_table!$C$34*lambda!$B$47</f>
        <v>301604.64962808072</v>
      </c>
    </row>
    <row r="15" spans="1:34" ht="15" x14ac:dyDescent="0.35">
      <c r="A15" s="5">
        <v>2006</v>
      </c>
      <c r="B15" s="7">
        <v>9666714.6749999989</v>
      </c>
      <c r="C15" s="7">
        <v>20779604.349999998</v>
      </c>
      <c r="D15" s="7">
        <v>16833861.662500001</v>
      </c>
      <c r="E15" s="7">
        <v>8384549.9333333001</v>
      </c>
      <c r="F15" s="7">
        <v>5300623.0458334014</v>
      </c>
      <c r="G15" s="7">
        <v>2422408.299999997</v>
      </c>
      <c r="H15" s="7">
        <v>1958369.8583333045</v>
      </c>
      <c r="I15" s="7">
        <v>1506040.162499994</v>
      </c>
      <c r="J15" s="7">
        <v>626925.35416670144</v>
      </c>
      <c r="K15" s="7">
        <v>270309.5625</v>
      </c>
      <c r="L15" s="7">
        <v>233347.14583329856</v>
      </c>
      <c r="M15" s="7">
        <v>325478.0666667074</v>
      </c>
      <c r="N15" s="7">
        <v>493737.39166659117</v>
      </c>
      <c r="O15" s="7">
        <v>396344.84583340585</v>
      </c>
      <c r="P15" s="7">
        <v>-53729.07500000298</v>
      </c>
      <c r="Q15" s="7">
        <v>926950.92499999702</v>
      </c>
      <c r="R15" s="7">
        <v>141695.4958333075</v>
      </c>
      <c r="S15" s="7">
        <v>41155.658333301544</v>
      </c>
      <c r="T15" s="8">
        <v>325638.29999999702</v>
      </c>
      <c r="U15" s="27">
        <v>18428.757969415834</v>
      </c>
      <c r="V15" s="27">
        <v>147314.25172419558</v>
      </c>
      <c r="W15" s="27">
        <v>50896.97564618833</v>
      </c>
      <c r="X15" s="27">
        <v>86825.942131992735</v>
      </c>
      <c r="Y15" s="27">
        <v>48088.752545005824</v>
      </c>
      <c r="Z15" s="27">
        <v>98027.343992917828</v>
      </c>
      <c r="AA15" s="27">
        <v>154675.83747529463</v>
      </c>
      <c r="AB15" s="27">
        <v>207801.95790259057</v>
      </c>
      <c r="AC15" s="27">
        <v>318801.8071223087</v>
      </c>
      <c r="AD15" s="27">
        <v>181287.8566303761</v>
      </c>
      <c r="AE15" s="27">
        <v>847974.31979724544</v>
      </c>
      <c r="AF15" s="27">
        <v>52119.755326030958</v>
      </c>
      <c r="AG15" s="27">
        <v>58141.852660036639</v>
      </c>
      <c r="AH15" s="27">
        <f>r_table!$C$34*lambda!$B$48</f>
        <v>306031.08604622586</v>
      </c>
    </row>
    <row r="16" spans="1:34" ht="15" x14ac:dyDescent="0.35">
      <c r="A16" s="5">
        <v>2007</v>
      </c>
      <c r="B16" s="7">
        <v>7688889.9833333343</v>
      </c>
      <c r="C16" s="7">
        <v>20708994.462499969</v>
      </c>
      <c r="D16" s="7">
        <v>17603674.891666699</v>
      </c>
      <c r="E16" s="7">
        <v>10843444.020833299</v>
      </c>
      <c r="F16" s="7">
        <v>4216276.8791666999</v>
      </c>
      <c r="G16" s="7">
        <v>3542110.4541667029</v>
      </c>
      <c r="H16" s="7">
        <v>1656106.9333333001</v>
      </c>
      <c r="I16" s="7">
        <v>774565.26250000298</v>
      </c>
      <c r="J16" s="7">
        <v>432199.09583330154</v>
      </c>
      <c r="K16" s="7">
        <v>466169.46249999106</v>
      </c>
      <c r="L16" s="7">
        <v>1549714.9166667014</v>
      </c>
      <c r="M16" s="7">
        <v>-147514.84166669846</v>
      </c>
      <c r="N16" s="7">
        <v>-150608.45000000298</v>
      </c>
      <c r="O16" s="7">
        <v>-549666.15416659415</v>
      </c>
      <c r="P16" s="7">
        <v>298298.75833329558</v>
      </c>
      <c r="Q16" s="7">
        <v>247419.375</v>
      </c>
      <c r="R16" s="7">
        <v>-129572.125</v>
      </c>
      <c r="S16" s="8">
        <v>-4100.6791667044163</v>
      </c>
      <c r="T16" s="27">
        <v>75206.373291992379</v>
      </c>
      <c r="U16" s="27">
        <v>18699.223711630333</v>
      </c>
      <c r="V16" s="27">
        <v>149476.27797129715</v>
      </c>
      <c r="W16" s="27">
        <v>51643.954271523005</v>
      </c>
      <c r="X16" s="27">
        <v>88100.224583429866</v>
      </c>
      <c r="Y16" s="27">
        <v>48794.516881964388</v>
      </c>
      <c r="Z16" s="27">
        <v>99466.021433598406</v>
      </c>
      <c r="AA16" s="27">
        <v>156945.90446813448</v>
      </c>
      <c r="AB16" s="27">
        <v>210851.71908948259</v>
      </c>
      <c r="AC16" s="27">
        <v>323480.63396054477</v>
      </c>
      <c r="AD16" s="27">
        <v>183948.48925572159</v>
      </c>
      <c r="AE16" s="27">
        <v>860419.4343385197</v>
      </c>
      <c r="AF16" s="27">
        <v>52884.679816964519</v>
      </c>
      <c r="AG16" s="27">
        <v>58995.159180178744</v>
      </c>
      <c r="AH16" s="27">
        <f>r_table!$C$34*lambda!$B$49</f>
        <v>310522.4861159196</v>
      </c>
    </row>
    <row r="17" spans="1:34" ht="15" x14ac:dyDescent="0.35">
      <c r="A17" s="5">
        <v>2008</v>
      </c>
      <c r="B17" s="7">
        <v>7564842.9916666672</v>
      </c>
      <c r="C17" s="7">
        <v>23400466.820833329</v>
      </c>
      <c r="D17" s="7">
        <v>17629411.408333302</v>
      </c>
      <c r="E17" s="7">
        <v>8996138.1583333984</v>
      </c>
      <c r="F17" s="7">
        <v>4836952.6083332971</v>
      </c>
      <c r="G17" s="7">
        <v>3474348.7458333001</v>
      </c>
      <c r="H17" s="7">
        <v>828026.70000000298</v>
      </c>
      <c r="I17" s="7">
        <v>525425.11666669697</v>
      </c>
      <c r="J17" s="7">
        <v>669720.15000000596</v>
      </c>
      <c r="K17" s="7">
        <v>892086.8791666925</v>
      </c>
      <c r="L17" s="7">
        <v>-383045.15416669846</v>
      </c>
      <c r="M17" s="7">
        <v>-113983.39999999106</v>
      </c>
      <c r="N17" s="7">
        <v>-80803.620833307505</v>
      </c>
      <c r="O17" s="7">
        <v>539839.42916660011</v>
      </c>
      <c r="P17" s="7">
        <v>24638.916666701436</v>
      </c>
      <c r="Q17" s="7">
        <v>-7980.4208333045244</v>
      </c>
      <c r="R17" s="8">
        <v>446934.67083330452</v>
      </c>
      <c r="S17" s="27">
        <v>91847.698541156424</v>
      </c>
      <c r="T17" s="27">
        <v>76310.123615559321</v>
      </c>
      <c r="U17" s="27">
        <v>18973.658886718884</v>
      </c>
      <c r="V17" s="27">
        <v>151670.03473624366</v>
      </c>
      <c r="W17" s="27">
        <v>52401.89576959487</v>
      </c>
      <c r="X17" s="27">
        <v>89393.208769926132</v>
      </c>
      <c r="Y17" s="27">
        <v>49510.639218932542</v>
      </c>
      <c r="Z17" s="27">
        <v>100925.81331739266</v>
      </c>
      <c r="AA17" s="27">
        <v>159249.28761581855</v>
      </c>
      <c r="AB17" s="27">
        <v>213946.23944703376</v>
      </c>
      <c r="AC17" s="27">
        <v>328228.12860458845</v>
      </c>
      <c r="AD17" s="27">
        <v>186648.17008925104</v>
      </c>
      <c r="AE17" s="27">
        <v>873047.19695336104</v>
      </c>
      <c r="AF17" s="27">
        <v>53660.830559310249</v>
      </c>
      <c r="AG17" s="27">
        <v>59860.989071765063</v>
      </c>
      <c r="AH17" s="27">
        <f>r_table!$C$34*lambda!$B$50</f>
        <v>315079.80326236086</v>
      </c>
    </row>
    <row r="18" spans="1:34" ht="15" x14ac:dyDescent="0.35">
      <c r="A18" s="5">
        <v>2009</v>
      </c>
      <c r="B18" s="7">
        <v>9998209.020833334</v>
      </c>
      <c r="C18" s="7">
        <v>28411911.337499969</v>
      </c>
      <c r="D18" s="7">
        <v>21523247.583333403</v>
      </c>
      <c r="E18" s="7">
        <v>13287422.779166706</v>
      </c>
      <c r="F18" s="7">
        <v>7413585.7083332986</v>
      </c>
      <c r="G18" s="7">
        <v>1715798.6208332926</v>
      </c>
      <c r="H18" s="7">
        <v>1542409.4375</v>
      </c>
      <c r="I18" s="7">
        <v>1397238.5833334029</v>
      </c>
      <c r="J18" s="7">
        <v>812170.11666660011</v>
      </c>
      <c r="K18" s="7">
        <v>1015992.2583332956</v>
      </c>
      <c r="L18" s="7">
        <v>204873.18750010431</v>
      </c>
      <c r="M18" s="7">
        <v>152410.25833329558</v>
      </c>
      <c r="N18" s="7">
        <v>704068.95000000298</v>
      </c>
      <c r="O18" s="7">
        <v>733565.875</v>
      </c>
      <c r="P18" s="7">
        <v>152298.47083330154</v>
      </c>
      <c r="Q18" s="8">
        <v>451281.89166669548</v>
      </c>
      <c r="R18" s="27">
        <v>153872.60865614665</v>
      </c>
      <c r="S18" s="27">
        <v>93195.68173122569</v>
      </c>
      <c r="T18" s="27">
        <v>77430.072895723264</v>
      </c>
      <c r="U18" s="27">
        <v>19252.121751217826</v>
      </c>
      <c r="V18" s="27">
        <v>153895.98770522437</v>
      </c>
      <c r="W18" s="27">
        <v>53170.96103467088</v>
      </c>
      <c r="X18" s="27">
        <v>90705.169163514205</v>
      </c>
      <c r="Y18" s="27">
        <v>50237.271572891856</v>
      </c>
      <c r="Z18" s="27">
        <v>102407.02952592896</v>
      </c>
      <c r="AA18" s="27">
        <v>161586.47587579917</v>
      </c>
      <c r="AB18" s="27">
        <v>217086.17587368228</v>
      </c>
      <c r="AC18" s="27">
        <v>333045.29884286749</v>
      </c>
      <c r="AD18" s="27">
        <v>189387.47221367783</v>
      </c>
      <c r="AE18" s="27">
        <v>885860.28823732946</v>
      </c>
      <c r="AF18" s="27">
        <v>54448.37231275651</v>
      </c>
      <c r="AG18" s="27">
        <v>60739.526131389946</v>
      </c>
      <c r="AH18" s="27">
        <f>r_table!$C$34*lambda!$B$51</f>
        <v>319704.00490349164</v>
      </c>
    </row>
    <row r="19" spans="1:34" ht="15" x14ac:dyDescent="0.35">
      <c r="A19" s="5">
        <v>2010</v>
      </c>
      <c r="B19" s="7">
        <v>9194446.9375</v>
      </c>
      <c r="C19" s="7">
        <v>26272503.645833299</v>
      </c>
      <c r="D19" s="7">
        <v>24588337.8125</v>
      </c>
      <c r="E19" s="7">
        <v>17120929.370833397</v>
      </c>
      <c r="F19" s="7">
        <v>4159699.2250000089</v>
      </c>
      <c r="G19" s="7">
        <v>2503456.3041666001</v>
      </c>
      <c r="H19" s="7">
        <v>2251796.3708333969</v>
      </c>
      <c r="I19" s="7">
        <v>2462202.8541665971</v>
      </c>
      <c r="J19" s="7">
        <v>215662.35416670144</v>
      </c>
      <c r="K19" s="7">
        <v>817636.52916669846</v>
      </c>
      <c r="L19" s="7">
        <v>895830.64583329856</v>
      </c>
      <c r="M19" s="7">
        <v>344419.4958333075</v>
      </c>
      <c r="N19" s="7">
        <v>667794.21249999106</v>
      </c>
      <c r="O19" s="7">
        <v>248014.17916670442</v>
      </c>
      <c r="P19" s="8">
        <v>330883.91249999404</v>
      </c>
      <c r="Q19" s="27">
        <v>236062.27305105788</v>
      </c>
      <c r="R19" s="27">
        <v>156130.88723225761</v>
      </c>
      <c r="S19" s="27">
        <v>94563.448309551517</v>
      </c>
      <c r="T19" s="27">
        <v>78566.458873021373</v>
      </c>
      <c r="U19" s="27">
        <v>19534.671416653226</v>
      </c>
      <c r="V19" s="27">
        <v>156154.60939897093</v>
      </c>
      <c r="W19" s="27">
        <v>53951.313322349037</v>
      </c>
      <c r="X19" s="27">
        <v>92036.384264456778</v>
      </c>
      <c r="Y19" s="27">
        <v>50974.568191868755</v>
      </c>
      <c r="Z19" s="27">
        <v>103909.98448874736</v>
      </c>
      <c r="AA19" s="27">
        <v>163957.96538160931</v>
      </c>
      <c r="AB19" s="27">
        <v>220272.19490869404</v>
      </c>
      <c r="AC19" s="27">
        <v>337933.1672544055</v>
      </c>
      <c r="AD19" s="27">
        <v>192166.97712244111</v>
      </c>
      <c r="AE19" s="27">
        <v>898861.42812717403</v>
      </c>
      <c r="AF19" s="27">
        <v>55247.472255052191</v>
      </c>
      <c r="AG19" s="27">
        <v>61630.956853099524</v>
      </c>
      <c r="AH19" s="27">
        <f>r_table!$C$34*lambda!$B$52</f>
        <v>324396.07265535404</v>
      </c>
    </row>
    <row r="20" spans="1:34" ht="15" x14ac:dyDescent="0.35">
      <c r="A20" s="5">
        <v>2011</v>
      </c>
      <c r="B20" s="7">
        <v>10541903.025</v>
      </c>
      <c r="C20" s="7">
        <v>27712873.270833403</v>
      </c>
      <c r="D20" s="7">
        <v>21686762.654166698</v>
      </c>
      <c r="E20" s="7">
        <v>6281914.7166666016</v>
      </c>
      <c r="F20" s="7">
        <v>4003301.037499994</v>
      </c>
      <c r="G20" s="7">
        <v>3652039.9916667044</v>
      </c>
      <c r="H20" s="7">
        <v>3260612.887500003</v>
      </c>
      <c r="I20" s="7">
        <v>2281444.75</v>
      </c>
      <c r="J20" s="7">
        <v>783796.15416669846</v>
      </c>
      <c r="K20" s="7">
        <v>349656.91666659713</v>
      </c>
      <c r="L20" s="7">
        <v>306881.35000000894</v>
      </c>
      <c r="M20" s="7">
        <v>420885.28749999404</v>
      </c>
      <c r="N20" s="7">
        <v>726373.73333339393</v>
      </c>
      <c r="O20" s="8">
        <v>466982.77083329856</v>
      </c>
      <c r="P20" s="27">
        <v>122303.56536370261</v>
      </c>
      <c r="Q20" s="27">
        <v>239526.7907356222</v>
      </c>
      <c r="R20" s="27">
        <v>158422.30895302485</v>
      </c>
      <c r="S20" s="27">
        <v>95951.288622819047</v>
      </c>
      <c r="T20" s="27">
        <v>79719.522777139471</v>
      </c>
      <c r="U20" s="27">
        <v>19821.367862088664</v>
      </c>
      <c r="V20" s="27">
        <v>158446.37927306665</v>
      </c>
      <c r="W20" s="27">
        <v>54743.11828421316</v>
      </c>
      <c r="X20" s="27">
        <v>93387.136660366319</v>
      </c>
      <c r="Y20" s="27">
        <v>51722.685587677959</v>
      </c>
      <c r="Z20" s="27">
        <v>105434.99725004657</v>
      </c>
      <c r="AA20" s="27">
        <v>166364.25954817829</v>
      </c>
      <c r="AB20" s="27">
        <v>223504.97287365887</v>
      </c>
      <c r="AC20" s="27">
        <v>342892.77142588829</v>
      </c>
      <c r="AD20" s="27">
        <v>194987.27484314452</v>
      </c>
      <c r="AE20" s="27">
        <v>912053.37647821696</v>
      </c>
      <c r="AF20" s="27">
        <v>56058.300017494992</v>
      </c>
      <c r="AG20" s="27">
        <v>62535.470467979459</v>
      </c>
      <c r="AH20" s="27">
        <f>r_table!$C$34*lambda!$B$53</f>
        <v>329157.00254047214</v>
      </c>
    </row>
    <row r="21" spans="1:34" ht="15" x14ac:dyDescent="0.35">
      <c r="A21" s="5">
        <v>2012</v>
      </c>
      <c r="B21" s="7">
        <v>9955042.0458333362</v>
      </c>
      <c r="C21" s="7">
        <v>24322781.487500057</v>
      </c>
      <c r="D21" s="7">
        <v>12378620.850000001</v>
      </c>
      <c r="E21" s="7">
        <v>29707249.234766603</v>
      </c>
      <c r="F21" s="7">
        <v>10432349.9375</v>
      </c>
      <c r="G21" s="7">
        <v>4911782.1666667014</v>
      </c>
      <c r="H21" s="7">
        <v>1783849.8916666955</v>
      </c>
      <c r="I21" s="7">
        <v>963654.52500000596</v>
      </c>
      <c r="J21" s="7">
        <v>826237.04166659713</v>
      </c>
      <c r="K21" s="7">
        <v>50225.5625</v>
      </c>
      <c r="L21" s="7">
        <v>283227.22916670144</v>
      </c>
      <c r="M21" s="7">
        <v>2175005.3708332926</v>
      </c>
      <c r="N21" s="8">
        <v>357797.41666670144</v>
      </c>
      <c r="O21" s="27">
        <v>413409.77229718416</v>
      </c>
      <c r="P21" s="27">
        <v>124098.52759807951</v>
      </c>
      <c r="Q21" s="27">
        <v>243042.15467626773</v>
      </c>
      <c r="R21" s="27">
        <v>160747.36023675351</v>
      </c>
      <c r="S21" s="27">
        <v>97359.497278925133</v>
      </c>
      <c r="T21" s="27">
        <v>80889.509378118659</v>
      </c>
      <c r="U21" s="27">
        <v>20112.271946857891</v>
      </c>
      <c r="V21" s="27">
        <v>160771.78381972201</v>
      </c>
      <c r="W21" s="27">
        <v>55546.54400299726</v>
      </c>
      <c r="X21" s="27">
        <v>94757.713086192249</v>
      </c>
      <c r="Y21" s="27">
        <v>52481.782569146737</v>
      </c>
      <c r="Z21" s="27">
        <v>106982.39153640832</v>
      </c>
      <c r="AA21" s="27">
        <v>168805.86917869915</v>
      </c>
      <c r="AB21" s="27">
        <v>226785.19601605568</v>
      </c>
      <c r="AC21" s="27">
        <v>347925.16417192155</v>
      </c>
      <c r="AD21" s="27">
        <v>197848.96406280636</v>
      </c>
      <c r="AE21" s="27">
        <v>925438.93365021248</v>
      </c>
      <c r="AF21" s="27">
        <v>56881.027720939674</v>
      </c>
      <c r="AG21" s="27">
        <v>63453.258984325759</v>
      </c>
      <c r="AH21" s="27">
        <f>r_table!$C$34*lambda!$B$54</f>
        <v>333987.80519928155</v>
      </c>
    </row>
    <row r="22" spans="1:34" ht="15" x14ac:dyDescent="0.35">
      <c r="A22" s="5">
        <v>2013</v>
      </c>
      <c r="B22" s="7">
        <v>8945263.9208333362</v>
      </c>
      <c r="C22" s="7">
        <v>17197109.404166661</v>
      </c>
      <c r="D22" s="7">
        <v>27285960.170833301</v>
      </c>
      <c r="E22" s="7">
        <v>12752291.245833397</v>
      </c>
      <c r="F22" s="7">
        <v>7489523.3791665956</v>
      </c>
      <c r="G22" s="7">
        <v>4415827.6541667134</v>
      </c>
      <c r="H22" s="7">
        <v>2975218.237499997</v>
      </c>
      <c r="I22" s="7">
        <v>784511.19166660309</v>
      </c>
      <c r="J22" s="7">
        <v>1356394.4250001013</v>
      </c>
      <c r="K22" s="7">
        <v>1672257.6708332896</v>
      </c>
      <c r="L22" s="7">
        <v>898278.23333330452</v>
      </c>
      <c r="M22" s="8">
        <v>1203818.1541666985</v>
      </c>
      <c r="N22" s="27">
        <f>r_table!$B$14*lambda!$B$35</f>
        <v>574352.98011535744</v>
      </c>
      <c r="O22" s="27">
        <v>419477.09279098245</v>
      </c>
      <c r="P22" s="27">
        <v>125919.83321347936</v>
      </c>
      <c r="Q22" s="27">
        <v>246609.11110724485</v>
      </c>
      <c r="R22" s="27">
        <v>163106.53464056412</v>
      </c>
      <c r="S22" s="27">
        <v>98788.373209515586</v>
      </c>
      <c r="T22" s="27">
        <v>82076.667038316285</v>
      </c>
      <c r="U22" s="27">
        <v>20407.445423483634</v>
      </c>
      <c r="V22" s="27">
        <v>163131.31667104684</v>
      </c>
      <c r="W22" s="27">
        <v>56361.761028265799</v>
      </c>
      <c r="X22" s="27">
        <v>96148.404485088773</v>
      </c>
      <c r="Y22" s="27">
        <v>53252.020275825693</v>
      </c>
      <c r="Z22" s="27">
        <v>108552.49582551981</v>
      </c>
      <c r="AA22" s="27">
        <v>171283.31257305879</v>
      </c>
      <c r="AB22" s="27">
        <v>230113.56065492821</v>
      </c>
      <c r="AC22" s="27">
        <v>353031.4137585205</v>
      </c>
      <c r="AD22" s="27">
        <v>200752.65225494807</v>
      </c>
      <c r="AE22" s="27">
        <v>939020.94110178901</v>
      </c>
      <c r="AF22" s="27">
        <v>57715.830012336599</v>
      </c>
      <c r="AG22" s="27">
        <v>64384.517228403114</v>
      </c>
      <c r="AH22" s="27">
        <f>r_table!$C$34*lambda!$B$55</f>
        <v>338889.50610466709</v>
      </c>
    </row>
    <row r="23" spans="1:34" ht="15" x14ac:dyDescent="0.35">
      <c r="A23" s="5">
        <v>2014</v>
      </c>
      <c r="B23" s="7">
        <v>9053483.0916666687</v>
      </c>
      <c r="C23" s="7">
        <v>24794406.675000034</v>
      </c>
      <c r="D23" s="7">
        <v>24216597.458333299</v>
      </c>
      <c r="E23" s="7">
        <v>14502747.912500001</v>
      </c>
      <c r="F23" s="7">
        <v>7145941.7958332896</v>
      </c>
      <c r="G23" s="7">
        <v>4282642.8791667074</v>
      </c>
      <c r="H23" s="7">
        <v>1393804.674999997</v>
      </c>
      <c r="I23" s="7">
        <v>666135.53333330154</v>
      </c>
      <c r="J23" s="7">
        <v>1080522.2666666955</v>
      </c>
      <c r="K23" s="7">
        <v>1678098.450000003</v>
      </c>
      <c r="L23" s="8">
        <v>848808.74166670442</v>
      </c>
      <c r="M23" s="27">
        <f>r_table!$B$13*lambda!$B$35</f>
        <v>741363.45206021774</v>
      </c>
      <c r="N23" s="27">
        <f>r_table!$B$14*lambda!$B$36</f>
        <v>582782.34932829172</v>
      </c>
      <c r="O23" s="27">
        <v>425633.45902206452</v>
      </c>
      <c r="P23" s="27">
        <v>127767.86883292429</v>
      </c>
      <c r="Q23" s="27">
        <v>250228.41721475302</v>
      </c>
      <c r="R23" s="27">
        <v>165500.33296516136</v>
      </c>
      <c r="S23" s="27">
        <v>100238.21973344397</v>
      </c>
      <c r="T23" s="27">
        <v>83281.247765126624</v>
      </c>
      <c r="U23" s="27">
        <v>20706.950950786377</v>
      </c>
      <c r="V23" s="27">
        <v>165525.47870383749</v>
      </c>
      <c r="W23" s="27">
        <v>57188.942412617849</v>
      </c>
      <c r="X23" s="27">
        <v>97559.506070174277</v>
      </c>
      <c r="Y23" s="27">
        <v>54033.562212196324</v>
      </c>
      <c r="Z23" s="27">
        <v>110145.64341590063</v>
      </c>
      <c r="AA23" s="27">
        <v>173797.11563786183</v>
      </c>
      <c r="AB23" s="27">
        <v>233490.77332869856</v>
      </c>
      <c r="AC23" s="27">
        <v>358212.6041298802</v>
      </c>
      <c r="AD23" s="27">
        <v>203698.95580854488</v>
      </c>
      <c r="AE23" s="27">
        <v>952802.28199364652</v>
      </c>
      <c r="AF23" s="27">
        <v>58562.884101804761</v>
      </c>
      <c r="AG23" s="27">
        <v>65329.442885802389</v>
      </c>
      <c r="AH23" s="27">
        <f>r_table!$C$34*lambda!$B$56</f>
        <v>343863.14577964914</v>
      </c>
    </row>
    <row r="24" spans="1:34" ht="15" x14ac:dyDescent="0.35">
      <c r="A24" s="5">
        <v>2015</v>
      </c>
      <c r="B24" s="7">
        <v>11511440.029166674</v>
      </c>
      <c r="C24" s="7">
        <v>25072765.5</v>
      </c>
      <c r="D24" s="7">
        <v>20379203.970833302</v>
      </c>
      <c r="E24" s="7">
        <v>12306252.154166698</v>
      </c>
      <c r="F24" s="7">
        <v>6387066.762500003</v>
      </c>
      <c r="G24" s="7">
        <v>3593817.0708332956</v>
      </c>
      <c r="H24" s="7">
        <v>4771861.8916667104</v>
      </c>
      <c r="I24" s="7">
        <v>2915740.0249999911</v>
      </c>
      <c r="J24" s="7">
        <v>1876000.5458333045</v>
      </c>
      <c r="K24" s="8">
        <v>679369.51250000298</v>
      </c>
      <c r="L24" s="27">
        <f>r_table!$B$12*lambda!$B$44</f>
        <v>976338.77728451975</v>
      </c>
      <c r="M24" s="27">
        <f>r_table!$B$13*lambda!$B$36</f>
        <v>752243.91490231163</v>
      </c>
      <c r="N24" s="27">
        <f>r_table!$B$14*lambda!$B$37</f>
        <v>591335.43038357375</v>
      </c>
      <c r="O24" s="27">
        <v>431880.17785123247</v>
      </c>
      <c r="P24" s="27">
        <v>129643.02675362739</v>
      </c>
      <c r="Q24" s="27">
        <v>253900.84129767094</v>
      </c>
      <c r="R24" s="27">
        <v>167929.26336114662</v>
      </c>
      <c r="S24" s="27">
        <v>101709.34462115803</v>
      </c>
      <c r="T24" s="27">
        <v>84503.507264476881</v>
      </c>
      <c r="U24" s="27">
        <v>21010.85210718543</v>
      </c>
      <c r="V24" s="27">
        <v>167954.77814590264</v>
      </c>
      <c r="W24" s="27">
        <v>58028.263748421436</v>
      </c>
      <c r="X24" s="27">
        <v>98991.317387200674</v>
      </c>
      <c r="Y24" s="27">
        <v>54826.574282378642</v>
      </c>
      <c r="Z24" s="27">
        <v>111762.17249765512</v>
      </c>
      <c r="AA24" s="27">
        <v>176347.81199806937</v>
      </c>
      <c r="AB24" s="27">
        <v>236917.55094515023</v>
      </c>
      <c r="AC24" s="27">
        <v>363469.83513846836</v>
      </c>
      <c r="AD24" s="27">
        <v>206688.50015887548</v>
      </c>
      <c r="AE24" s="27">
        <v>966785.88180057658</v>
      </c>
      <c r="AF24" s="27">
        <v>59422.369800249719</v>
      </c>
      <c r="AG24" s="27">
        <v>66288.23654340519</v>
      </c>
      <c r="AH24" s="27">
        <f>r_table!$C$34*lambda!$B$57</f>
        <v>348909.7800182589</v>
      </c>
    </row>
    <row r="25" spans="1:34" ht="15" x14ac:dyDescent="0.35">
      <c r="A25" s="5">
        <v>2016</v>
      </c>
      <c r="B25" s="7">
        <v>13027666.350000011</v>
      </c>
      <c r="C25" s="7">
        <v>29309802.495833397</v>
      </c>
      <c r="D25" s="7">
        <v>19378282.462499902</v>
      </c>
      <c r="E25" s="7">
        <v>10611613.399999999</v>
      </c>
      <c r="F25" s="7">
        <v>4551874.2416667044</v>
      </c>
      <c r="G25" s="7">
        <v>3908034.5</v>
      </c>
      <c r="H25" s="7">
        <v>6938940.3125</v>
      </c>
      <c r="I25" s="7">
        <v>2849511.075000003</v>
      </c>
      <c r="J25" s="8">
        <v>1727473.6333332956</v>
      </c>
      <c r="K25" s="27">
        <f>r_table!$B$12*lambda!$B$43</f>
        <v>962217.00431023224</v>
      </c>
      <c r="L25" s="27">
        <f>r_table!$B$12*lambda!$B$44</f>
        <v>976338.77728451975</v>
      </c>
      <c r="M25" s="27">
        <f>r_table!$B$13*lambda!$B$37</f>
        <v>763284.06254047877</v>
      </c>
      <c r="N25" s="27">
        <f>r_table!$B$14*lambda!$B$38</f>
        <v>600014.03891171515</v>
      </c>
      <c r="O25" s="27">
        <v>438218.57531915454</v>
      </c>
      <c r="P25" s="27">
        <v>131545.70503026689</v>
      </c>
      <c r="Q25" s="27">
        <v>257627.162930655</v>
      </c>
      <c r="R25" s="27">
        <v>170393.8414368848</v>
      </c>
      <c r="S25" s="27">
        <v>103202.06016003295</v>
      </c>
      <c r="T25" s="27">
        <v>85743.70499510775</v>
      </c>
      <c r="U25" s="27">
        <v>21319.213404195325</v>
      </c>
      <c r="V25" s="27">
        <v>170419.73068394628</v>
      </c>
      <c r="W25" s="27">
        <v>58879.903205089235</v>
      </c>
      <c r="X25" s="27">
        <v>100444.14237813899</v>
      </c>
      <c r="Y25" s="27">
        <v>55631.224825349127</v>
      </c>
      <c r="Z25" s="27">
        <v>113402.42622426272</v>
      </c>
      <c r="AA25" s="27">
        <v>178935.9431102761</v>
      </c>
      <c r="AB25" s="27">
        <v>240394.62093360885</v>
      </c>
      <c r="AC25" s="27">
        <v>368804.22277850669</v>
      </c>
      <c r="AD25" s="27">
        <v>209721.91992028573</v>
      </c>
      <c r="AE25" s="27">
        <v>980974.70893247821</v>
      </c>
      <c r="AF25" s="27">
        <v>60294.469557533725</v>
      </c>
      <c r="AG25" s="27">
        <v>67261.101731963034</v>
      </c>
      <c r="AH25" s="27">
        <f>r_table!$C$34*lambda!$B$58</f>
        <v>354030.4801096677</v>
      </c>
    </row>
    <row r="26" spans="1:34" ht="15" x14ac:dyDescent="0.35">
      <c r="A26" s="5">
        <v>2017</v>
      </c>
      <c r="B26" s="7">
        <v>16518055.287500009</v>
      </c>
      <c r="C26" s="7">
        <v>30180407.858333297</v>
      </c>
      <c r="D26" s="7">
        <v>17297931.208333403</v>
      </c>
      <c r="E26" s="7">
        <v>8195745.075000003</v>
      </c>
      <c r="F26" s="7">
        <v>6244230.4458332956</v>
      </c>
      <c r="G26" s="7">
        <v>6315628.7916667014</v>
      </c>
      <c r="H26" s="7">
        <v>2629818.4958332926</v>
      </c>
      <c r="I26" s="8">
        <v>2866867.1458334029</v>
      </c>
      <c r="J26" s="27">
        <f>r_table!$B$10*lambda!$B$34</f>
        <v>1744236.0582479532</v>
      </c>
      <c r="K26" s="27">
        <f>r_table!$B$12*lambda!$B$43</f>
        <v>962217.00431023224</v>
      </c>
      <c r="L26" s="27">
        <f>r_table!$B$12*lambda!$B$44</f>
        <v>976338.77728451975</v>
      </c>
      <c r="M26" s="27">
        <f>r_table!$B$13*lambda!$B$38</f>
        <v>774486.23855462577</v>
      </c>
      <c r="N26" s="27">
        <f>r_table!$B$14*lambda!$B$39</f>
        <v>608820.0171899444</v>
      </c>
      <c r="O26" s="27">
        <v>444649.99692784768</v>
      </c>
      <c r="P26" s="27">
        <v>133476.30755948709</v>
      </c>
      <c r="Q26" s="27">
        <v>261408.17312962204</v>
      </c>
      <c r="R26" s="27">
        <v>172894.59036795713</v>
      </c>
      <c r="S26" s="27">
        <v>104716.68322066312</v>
      </c>
      <c r="T26" s="27">
        <v>87002.104223651331</v>
      </c>
      <c r="U26" s="27">
        <v>21632.100300119859</v>
      </c>
      <c r="V26" s="27">
        <v>172920.85957304039</v>
      </c>
      <c r="W26" s="27">
        <v>59744.04156689917</v>
      </c>
      <c r="X26" s="27">
        <v>101918.28944569982</v>
      </c>
      <c r="Y26" s="27">
        <v>56447.684650675437</v>
      </c>
      <c r="Z26" s="27">
        <v>115066.75278542218</v>
      </c>
      <c r="AA26" s="27">
        <v>181562.05837764739</v>
      </c>
      <c r="AB26" s="27">
        <v>243922.72139936389</v>
      </c>
      <c r="AC26" s="27">
        <v>374216.89942286728</v>
      </c>
      <c r="AD26" s="27">
        <v>212799.85902090374</v>
      </c>
      <c r="AE26" s="27">
        <v>995371.77536448988</v>
      </c>
      <c r="AF26" s="27">
        <v>61179.36850120491</v>
      </c>
      <c r="AG26" s="27">
        <v>68248.244969303909</v>
      </c>
      <c r="AH26" s="27">
        <f>r_table!$C$34*lambda!$B$59</f>
        <v>359226.3330655928</v>
      </c>
    </row>
    <row r="27" spans="1:34" ht="15" x14ac:dyDescent="0.35">
      <c r="A27" s="5">
        <v>2018</v>
      </c>
      <c r="B27" s="7">
        <v>16902139.808333337</v>
      </c>
      <c r="C27" s="7">
        <v>35699050.625000097</v>
      </c>
      <c r="D27" s="7">
        <v>16018410.625</v>
      </c>
      <c r="E27" s="7">
        <v>13252527.4375</v>
      </c>
      <c r="F27" s="7">
        <v>8562575.887500003</v>
      </c>
      <c r="G27" s="7">
        <v>4793899.6833333075</v>
      </c>
      <c r="H27" s="8">
        <v>3353036.3999999911</v>
      </c>
      <c r="I27" s="27">
        <f>r_table!$B$9*lambda!$B$35</f>
        <v>2166895.6626977352</v>
      </c>
      <c r="J27" s="27">
        <f>r_table!$B$10*lambda!$B$35</f>
        <v>1494011.9287071449</v>
      </c>
      <c r="K27" s="27">
        <f>r_table!$B$12*lambda!$B$43</f>
        <v>962217.00431023224</v>
      </c>
      <c r="L27" s="27">
        <f>r_table!$B$12*lambda!$B$44</f>
        <v>976338.77728451975</v>
      </c>
      <c r="M27" s="27">
        <f>r_table!$B$13*lambda!$B$39</f>
        <v>785852.82091971429</v>
      </c>
      <c r="N27" s="27">
        <f>r_table!$B$14*lambda!$B$40</f>
        <v>617755.23453327268</v>
      </c>
      <c r="O27" s="27">
        <v>451175.80792630743</v>
      </c>
      <c r="P27" s="27">
        <v>135435.24416563497</v>
      </c>
      <c r="Q27" s="27">
        <v>265244.67451966566</v>
      </c>
      <c r="R27" s="27">
        <v>175432.04100821991</v>
      </c>
      <c r="S27" s="27">
        <v>106253.53532412706</v>
      </c>
      <c r="T27" s="27">
        <v>88278.972080515319</v>
      </c>
      <c r="U27" s="27">
        <v>21949.579213947927</v>
      </c>
      <c r="V27" s="27">
        <v>175458.69574769799</v>
      </c>
      <c r="W27" s="27">
        <v>60620.862271371079</v>
      </c>
      <c r="X27" s="27">
        <v>103414.07151880051</v>
      </c>
      <c r="Y27" s="27">
        <v>57276.127074775635</v>
      </c>
      <c r="Z27" s="27">
        <v>116755.50548096311</v>
      </c>
      <c r="AA27" s="27">
        <v>184226.71526654894</v>
      </c>
      <c r="AB27" s="27">
        <v>247502.60128034922</v>
      </c>
      <c r="AC27" s="27">
        <v>379709.01406345173</v>
      </c>
      <c r="AD27" s="27">
        <v>215922.97083933244</v>
      </c>
      <c r="AE27" s="27">
        <v>1009980.1372763511</v>
      </c>
      <c r="AF27" s="27">
        <v>62077.254475797134</v>
      </c>
      <c r="AG27" s="27">
        <v>69249.875804170486</v>
      </c>
      <c r="AH27" s="27">
        <f>r_table!$C$34*lambda!$B$60</f>
        <v>364498.44185104774</v>
      </c>
    </row>
    <row r="28" spans="1:34" ht="15" x14ac:dyDescent="0.35">
      <c r="A28" s="5">
        <v>2019</v>
      </c>
      <c r="B28" s="7">
        <v>17923705.070833333</v>
      </c>
      <c r="C28" s="7">
        <v>28298054.904166702</v>
      </c>
      <c r="D28" s="7">
        <v>22832122.4416667</v>
      </c>
      <c r="E28" s="7">
        <v>16018252.120833293</v>
      </c>
      <c r="F28" s="7">
        <v>13534166.112500012</v>
      </c>
      <c r="G28" s="8">
        <v>5846912.2916669995</v>
      </c>
      <c r="H28" s="27">
        <f>r_table!$B$8*lambda!$B$36</f>
        <v>3369766.6351962667</v>
      </c>
      <c r="I28" s="27">
        <f>r_table!$B$9*lambda!$B$36</f>
        <v>2198697.6454838552</v>
      </c>
      <c r="J28" s="27">
        <f>r_table!$B$10*lambda!$B$36</f>
        <v>1515938.4766517053</v>
      </c>
      <c r="K28" s="27">
        <f>r_table!$B$12*lambda!$B$43</f>
        <v>962217.00431023224</v>
      </c>
      <c r="L28" s="27">
        <f>r_table!$B$12*lambda!$B$44</f>
        <v>976338.77728451975</v>
      </c>
      <c r="M28" s="27">
        <f>r_table!$B$13*lambda!$B$40</f>
        <v>797386.22251054051</v>
      </c>
      <c r="N28" s="27">
        <f>r_table!$B$14*lambda!$B$41</f>
        <v>626821.58769132185</v>
      </c>
      <c r="O28" s="27">
        <v>457797.39360031392</v>
      </c>
      <c r="P28" s="27">
        <v>137422.93068775724</v>
      </c>
      <c r="Q28" s="27">
        <v>269137.4815054356</v>
      </c>
      <c r="R28" s="27">
        <v>178006.73200249363</v>
      </c>
      <c r="S28" s="27">
        <v>107812.94271023784</v>
      </c>
      <c r="T28" s="27">
        <v>89574.579616591</v>
      </c>
      <c r="U28" s="27">
        <v>22271.717539452493</v>
      </c>
      <c r="V28" s="27">
        <v>178033.7779345793</v>
      </c>
      <c r="W28" s="27">
        <v>61510.551448206541</v>
      </c>
      <c r="X28" s="27">
        <v>104931.80611899339</v>
      </c>
      <c r="Y28" s="27">
        <v>58116.727957708747</v>
      </c>
      <c r="Z28" s="27">
        <v>118469.04279584593</v>
      </c>
      <c r="AA28" s="27">
        <v>186930.47942488233</v>
      </c>
      <c r="AB28" s="27">
        <v>251135.02050612692</v>
      </c>
      <c r="AC28" s="27">
        <v>385281.73255509784</v>
      </c>
      <c r="AD28" s="27">
        <v>219091.91834334435</v>
      </c>
      <c r="AE28" s="27">
        <v>1024802.8957011836</v>
      </c>
      <c r="AF28" s="27">
        <v>62988.318082704296</v>
      </c>
      <c r="AG28" s="27">
        <v>70266.206860702936</v>
      </c>
      <c r="AH28" s="27">
        <f>r_table!$C$34*lambda!$B$61</f>
        <v>369847.92561847839</v>
      </c>
    </row>
    <row r="29" spans="1:34" ht="15" x14ac:dyDescent="0.35">
      <c r="A29" s="5">
        <v>2020</v>
      </c>
      <c r="B29" s="7">
        <v>12157089.591666671</v>
      </c>
      <c r="C29" s="7">
        <v>25872018.8125</v>
      </c>
      <c r="D29" s="7">
        <v>17720965.075000003</v>
      </c>
      <c r="E29" s="7">
        <v>10839333.466666602</v>
      </c>
      <c r="F29" s="8">
        <v>8201308.741666697</v>
      </c>
      <c r="G29" s="27">
        <f>r_table!$B$7*lambda!$B$35</f>
        <v>4970789.8761425372</v>
      </c>
      <c r="H29" s="27">
        <f>r_table!$B$8*lambda!$B$37</f>
        <v>3419222.2976771891</v>
      </c>
      <c r="I29" s="27">
        <f>r_table!$B$9*lambda!$B$37</f>
        <v>2230966.363298587</v>
      </c>
      <c r="J29" s="27">
        <f>r_table!$B$10*lambda!$B$37</f>
        <v>1538186.8249082498</v>
      </c>
      <c r="K29" s="27">
        <f>r_table!$B$12*lambda!$B$43</f>
        <v>962217.00431023224</v>
      </c>
      <c r="L29" s="27">
        <f>r_table!$B$12*lambda!$B$44</f>
        <v>976338.77728451975</v>
      </c>
      <c r="M29" s="27">
        <f>r_table!$B$13*lambda!$B$41</f>
        <v>809088.89161395212</v>
      </c>
      <c r="N29" s="27">
        <f>r_table!$B$14*lambda!$B$42</f>
        <v>636021.00125095306</v>
      </c>
      <c r="O29" s="27">
        <v>464516.15956649912</v>
      </c>
      <c r="P29" s="27">
        <v>139439.78906787382</v>
      </c>
      <c r="Q29" s="27">
        <v>273087.42044401914</v>
      </c>
      <c r="R29" s="27">
        <v>180619.2099009029</v>
      </c>
      <c r="S29" s="27">
        <v>109395.23640679879</v>
      </c>
      <c r="T29" s="27">
        <v>90889.20186079001</v>
      </c>
      <c r="U29" s="27">
        <v>22598.583659496864</v>
      </c>
      <c r="V29" s="27">
        <v>180646.6527668518</v>
      </c>
      <c r="W29" s="27">
        <v>62413.297958800271</v>
      </c>
      <c r="X29" s="27">
        <v>106471.81542786717</v>
      </c>
      <c r="Y29" s="27">
        <v>58969.665740507051</v>
      </c>
      <c r="Z29" s="27">
        <v>120207.72847625893</v>
      </c>
      <c r="AA29" s="27">
        <v>189673.92480216004</v>
      </c>
      <c r="AB29" s="27">
        <v>254820.75015920424</v>
      </c>
      <c r="AC29" s="27">
        <v>390936.23786305956</v>
      </c>
      <c r="AD29" s="27">
        <v>222307.37423061981</v>
      </c>
      <c r="AE29" s="27">
        <v>1039843.1971837571</v>
      </c>
      <c r="AF29" s="27">
        <v>63912.752720641096</v>
      </c>
      <c r="AG29" s="27">
        <v>71297.453883574606</v>
      </c>
      <c r="AH29" s="27">
        <f>r_table!$C$34*lambda!$B$62</f>
        <v>375275.91994532914</v>
      </c>
    </row>
    <row r="30" spans="1:34" ht="15" x14ac:dyDescent="0.35">
      <c r="A30" s="5">
        <v>2021</v>
      </c>
      <c r="B30" s="7">
        <v>15171797.887499999</v>
      </c>
      <c r="C30" s="7">
        <v>34303619.041666701</v>
      </c>
      <c r="D30" s="7">
        <v>18102461.845833309</v>
      </c>
      <c r="E30" s="8">
        <v>11487152.899999991</v>
      </c>
      <c r="F30" s="27">
        <f>r_table!$B$6*lambda!$B$35</f>
        <v>8409123.0013831556</v>
      </c>
      <c r="G30" s="27">
        <f>r_table!$B$7*lambda!$B$36</f>
        <v>5043742.6153056659</v>
      </c>
      <c r="H30" s="27">
        <f>r_table!$B$8*lambda!$B$38</f>
        <v>3469403.7856576811</v>
      </c>
      <c r="I30" s="27">
        <f>r_table!$B$9*lambda!$B$38</f>
        <v>2263708.6660791943</v>
      </c>
      <c r="J30" s="27">
        <f>r_table!$B$10*lambda!$B$39</f>
        <v>1583667.8830059837</v>
      </c>
      <c r="K30" s="27">
        <f>r_table!$B$12*lambda!$B$43</f>
        <v>962217.00431023224</v>
      </c>
      <c r="L30" s="27">
        <f>r_table!$B$12*lambda!$B$44</f>
        <v>976338.77728451975</v>
      </c>
      <c r="M30" s="27">
        <f>r_table!$B$13*lambda!$B$42</f>
        <v>820963.31244855456</v>
      </c>
      <c r="N30" s="27">
        <f>r_table!$B$14*lambda!$B$43</f>
        <v>645355.42804481718</v>
      </c>
      <c r="O30" s="27">
        <v>471333.5320707279</v>
      </c>
      <c r="P30" s="27">
        <v>141486.24744054736</v>
      </c>
      <c r="Q30" s="27">
        <v>277095.32982035447</v>
      </c>
      <c r="R30" s="27">
        <v>183270.02927490076</v>
      </c>
      <c r="S30" s="27">
        <v>111000.75229987198</v>
      </c>
      <c r="T30" s="27">
        <v>92223.117878427176</v>
      </c>
      <c r="U30" s="27">
        <v>22930.246960550903</v>
      </c>
      <c r="V30" s="27">
        <v>183297.87490022884</v>
      </c>
      <c r="W30" s="27">
        <v>63329.293436330394</v>
      </c>
      <c r="X30" s="27">
        <v>108034.42635544107</v>
      </c>
      <c r="Y30" s="27">
        <v>59835.121483054463</v>
      </c>
      <c r="Z30" s="27">
        <v>121971.93160683384</v>
      </c>
      <c r="AA30" s="27">
        <v>192457.6337713431</v>
      </c>
      <c r="AB30" s="27">
        <v>258560.57263871396</v>
      </c>
      <c r="AC30" s="27">
        <v>396673.73031413276</v>
      </c>
      <c r="AD30" s="27">
        <v>225570.02107154243</v>
      </c>
      <c r="AE30" s="27">
        <v>1055104.2344484362</v>
      </c>
      <c r="AF30" s="27">
        <v>64850.754626697511</v>
      </c>
      <c r="AG30" s="27">
        <v>72343.835783788818</v>
      </c>
      <c r="AH30" s="27">
        <f>r_table!$C$34*lambda!$B$63</f>
        <v>380783.57707510924</v>
      </c>
    </row>
    <row r="31" spans="1:34" ht="15" x14ac:dyDescent="0.35">
      <c r="A31" s="5">
        <v>2022</v>
      </c>
      <c r="B31" s="7">
        <v>20467424.095833328</v>
      </c>
      <c r="C31" s="7">
        <v>42434512.408333398</v>
      </c>
      <c r="D31" s="8">
        <v>25936573.066666596</v>
      </c>
      <c r="E31" s="27">
        <f>r_table!$B$5*lambda!$B$35</f>
        <v>15999516.018016204</v>
      </c>
      <c r="F31" s="27">
        <f>r_table!$B$6*lambda!$B$36</f>
        <v>8532537.7045181505</v>
      </c>
      <c r="G31" s="27">
        <f>r_table!$B$7*lambda!$B$37</f>
        <v>5117766.0298109474</v>
      </c>
      <c r="H31" s="27">
        <f>r_table!$B$8*lambda!$B$38</f>
        <v>3469403.7856576811</v>
      </c>
      <c r="I31" s="27">
        <f>r_table!$B$9*lambda!$B$39</f>
        <v>2296931.5042945943</v>
      </c>
      <c r="J31" s="27">
        <f>r_table!$B$10*lambda!$B$40</f>
        <v>1606910.2474729398</v>
      </c>
      <c r="K31" s="27">
        <f>r_table!$B$12*lambda!$B$43</f>
        <v>962217.00431023224</v>
      </c>
      <c r="L31" s="27">
        <f>r_table!$B$12*lambda!$B$44</f>
        <v>976338.77728451975</v>
      </c>
      <c r="M31" s="27">
        <f>r_table!$B$13*lambda!$B$43</f>
        <v>833012.00569205882</v>
      </c>
      <c r="N31" s="27">
        <f>r_table!$B$14*lambda!$B$44</f>
        <v>654826.84956589714</v>
      </c>
      <c r="O31" s="27">
        <v>478250.95829086105</v>
      </c>
      <c r="P31" s="27">
        <v>143562.74022376479</v>
      </c>
      <c r="Q31" s="27">
        <v>281162.06042522821</v>
      </c>
      <c r="R31" s="27">
        <v>185959.75283498946</v>
      </c>
      <c r="S31" s="27">
        <v>112629.83120507965</v>
      </c>
      <c r="T31" s="27">
        <v>93576.610830460078</v>
      </c>
      <c r="U31" s="27">
        <v>23266.777847420286</v>
      </c>
      <c r="V31" s="27">
        <v>185988.00713070837</v>
      </c>
      <c r="W31" s="27">
        <v>64258.732326439167</v>
      </c>
      <c r="X31" s="27">
        <v>109619.97060955927</v>
      </c>
      <c r="Y31" s="27">
        <v>60713.278902521743</v>
      </c>
      <c r="Z31" s="27">
        <v>123762.02668899487</v>
      </c>
      <c r="AA31" s="27">
        <v>195282.1972524632</v>
      </c>
      <c r="AB31" s="27">
        <v>262355.28182650596</v>
      </c>
      <c r="AC31" s="27">
        <v>402495.42785145243</v>
      </c>
      <c r="AD31" s="27">
        <v>228880.55145409482</v>
      </c>
      <c r="AE31" s="27">
        <v>1070589.2470769284</v>
      </c>
      <c r="AF31" s="27">
        <v>65802.522917994691</v>
      </c>
      <c r="AG31" s="27">
        <v>73405.574685150423</v>
      </c>
      <c r="AH31" s="27">
        <f>r_table!$C$34*lambda!$B$64</f>
        <v>386372.06616198272</v>
      </c>
    </row>
    <row r="32" spans="1:34" ht="15" x14ac:dyDescent="0.35">
      <c r="A32" s="5">
        <v>2023</v>
      </c>
      <c r="B32" s="7">
        <v>22938942.387499992</v>
      </c>
      <c r="C32" s="8">
        <v>41675590.591666698</v>
      </c>
      <c r="D32" s="27">
        <f>r_table!$B$4*lambda!$B$35</f>
        <v>25190224.997773204</v>
      </c>
      <c r="E32" s="27">
        <f>r_table!$B$5*lambda!$B$36</f>
        <v>16234329.508001102</v>
      </c>
      <c r="F32" s="27">
        <f>r_table!$B$6*lambda!$B$37</f>
        <v>8657763.6772644259</v>
      </c>
      <c r="G32" s="27">
        <f>r_table!$B$7*lambda!$B$38</f>
        <v>5192875.8331970545</v>
      </c>
      <c r="H32" s="27">
        <f>r_table!$B$8*lambda!$B$39</f>
        <v>3520321.7515611467</v>
      </c>
      <c r="I32" s="27">
        <f>r_table!$B$9*lambda!$B$40</f>
        <v>2330641.9304207563</v>
      </c>
      <c r="J32" s="27">
        <f>r_table!$B$10*lambda!$B$41</f>
        <v>1630493.7235528873</v>
      </c>
      <c r="K32" s="27">
        <f>r_table!$B$12*lambda!$B$43</f>
        <v>962217.00431023224</v>
      </c>
      <c r="L32" s="27">
        <f>r_table!$B$12*lambda!$B$44</f>
        <v>976338.77728451975</v>
      </c>
      <c r="M32" s="27">
        <f>r_table!$B$13*lambda!$B$44</f>
        <v>845237.52901636541</v>
      </c>
      <c r="N32" s="27">
        <f>r_table!$B$14*lambda!$B$45</f>
        <v>664437.27638813853</v>
      </c>
      <c r="O32" s="27">
        <v>485269.90664395154</v>
      </c>
      <c r="P32" s="27">
        <v>145669.70821115756</v>
      </c>
      <c r="Q32" s="27">
        <v>285288.47553587606</v>
      </c>
      <c r="R32" s="27">
        <v>188688.95155017206</v>
      </c>
      <c r="S32" s="27">
        <v>114282.81893995203</v>
      </c>
      <c r="T32" s="27">
        <v>94949.968033598067</v>
      </c>
      <c r="U32" s="27">
        <v>23608.247758191599</v>
      </c>
      <c r="V32" s="27">
        <v>188717.62051404579</v>
      </c>
      <c r="W32" s="27">
        <v>65201.81192850876</v>
      </c>
      <c r="X32" s="27">
        <v>111228.78476630551</v>
      </c>
      <c r="Y32" s="27">
        <v>61604.324412365793</v>
      </c>
      <c r="Z32" s="27">
        <v>125578.39372045526</v>
      </c>
      <c r="AA32" s="27">
        <v>198148.2148380662</v>
      </c>
      <c r="AB32" s="27">
        <v>266205.68325566698</v>
      </c>
      <c r="AC32" s="27">
        <v>408402.56629303657</v>
      </c>
      <c r="AD32" s="27">
        <v>232239.66813088051</v>
      </c>
      <c r="AE32" s="27">
        <v>1086301.5221959609</v>
      </c>
      <c r="AF32" s="27">
        <v>66768.259633954527</v>
      </c>
      <c r="AG32" s="27">
        <v>74482.895971416729</v>
      </c>
      <c r="AH32" s="27">
        <f>r_table!$C$34*lambda!$B$65</f>
        <v>392042.57351895596</v>
      </c>
    </row>
    <row r="33" spans="1:34" ht="15" x14ac:dyDescent="0.35">
      <c r="A33" s="5">
        <v>2024</v>
      </c>
      <c r="B33" s="8">
        <v>23071016.679166667</v>
      </c>
      <c r="C33" s="27">
        <f>r_table!$B$3*lambda!$B$35</f>
        <v>31464573.948844176</v>
      </c>
      <c r="D33" s="27">
        <f>r_table!$B$4*lambda!$B$36</f>
        <v>25559923.971077859</v>
      </c>
      <c r="E33" s="27">
        <f>r_table!$B$5*lambda!$B$37</f>
        <v>16472589.188171808</v>
      </c>
      <c r="F33" s="27">
        <f>r_table!$B$6*lambda!$B$38</f>
        <v>8784827.5023347437</v>
      </c>
      <c r="G33" s="27">
        <f>r_table!$B$7*lambda!$B$39</f>
        <v>5269087.9696190879</v>
      </c>
      <c r="H33" s="27">
        <f>r_table!$B$8*lambda!$B$40</f>
        <v>3571987.0041489764</v>
      </c>
      <c r="I33" s="27">
        <f>r_table!$B$9*lambda!$B$41</f>
        <v>2364847.1004378367</v>
      </c>
      <c r="J33" s="27">
        <f>r_table!$B$10*lambda!$B$42</f>
        <v>1654423.3174977796</v>
      </c>
      <c r="K33" s="27">
        <f>r_table!$B$12*lambda!$B$43</f>
        <v>962217.00431023224</v>
      </c>
      <c r="L33" s="27">
        <f>r_table!$B$12*lambda!$B$44</f>
        <v>976338.77728451975</v>
      </c>
      <c r="M33" s="27">
        <f>r_table!$B$13*lambda!$B$45</f>
        <v>857642.47763050511</v>
      </c>
      <c r="N33" s="27">
        <f>r_table!$B$14*lambda!$B$46</f>
        <v>674188.74859324005</v>
      </c>
      <c r="O33" s="27">
        <f>r_table!$B$15*lambda!$B$47</f>
        <v>492391.86709796794</v>
      </c>
      <c r="P33" s="27">
        <f>r_table!$B$16*lambda!$B$48</f>
        <v>147807.59866557052</v>
      </c>
      <c r="Q33" s="27">
        <f>r_table!$B$17*lambda!$B$49</f>
        <v>289475.45109923795</v>
      </c>
      <c r="R33" s="27">
        <f>r_table!$B$18*lambda!$B$50</f>
        <v>191458.20476915673</v>
      </c>
      <c r="S33" s="27">
        <f>r_table!$B$19*lambda!$B$51</f>
        <v>115960.06639733708</v>
      </c>
      <c r="T33" s="27">
        <f>r_table!$B$20*lambda!$B$52</f>
        <v>96343.4810212921</v>
      </c>
      <c r="U33" s="27">
        <f>r_table!$B$21*lambda!$B$53</f>
        <v>23954.729179397524</v>
      </c>
      <c r="V33" s="27">
        <f>r_table!$B$22*lambda!$B$54</f>
        <v>191487.2944869741</v>
      </c>
      <c r="W33" s="27">
        <f>r_table!$B$23*lambda!$B$55</f>
        <v>66158.732437543658</v>
      </c>
      <c r="X33" s="27">
        <f>r_table!$B$24*lambda!$B$56</f>
        <v>112861.21034145117</v>
      </c>
      <c r="Y33" s="27">
        <f>r_table!$B$25*lambda!$B$57</f>
        <v>62508.447161900265</v>
      </c>
      <c r="Z33" s="27">
        <f>r_table!$B$26*lambda!$B$58</f>
        <v>127421.41827588518</v>
      </c>
      <c r="AA33" s="27">
        <f>r_table!$B$27*lambda!$B$59</f>
        <v>201056.29492048942</v>
      </c>
      <c r="AB33" s="27">
        <f>r_table!$B$28*lambda!$B$60</f>
        <v>270112.59428151866</v>
      </c>
      <c r="AC33" s="27">
        <f>r_table!$B$29*lambda!$B$61</f>
        <v>414396.39959412487</v>
      </c>
      <c r="AD33" s="27">
        <f>r_table!$B$30*lambda!$B$62</f>
        <v>235648.08416829939</v>
      </c>
      <c r="AE33" s="27">
        <f>r_table!$B$31*lambda!$B$63</f>
        <v>1102244.3951750882</v>
      </c>
      <c r="AF33" s="27">
        <f>r_table!$B$32*lambda!$B$64</f>
        <v>67748.169779187214</v>
      </c>
      <c r="AG33" s="27">
        <f>r_table!$B$33*lambda!$B$65</f>
        <v>75576.028334141738</v>
      </c>
      <c r="AH33" s="27">
        <f>r_table!$C$34*lambda!$B$66</f>
        <v>397796.3028697056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CBCC-8B2C-4690-B3E0-7F1D5F8894DE}">
  <dimension ref="A1:AK37"/>
  <sheetViews>
    <sheetView topLeftCell="A12" zoomScale="95" zoomScaleNormal="95" workbookViewId="0">
      <selection activeCell="G25" sqref="G25"/>
    </sheetView>
  </sheetViews>
  <sheetFormatPr defaultRowHeight="14.4" x14ac:dyDescent="0.3"/>
  <cols>
    <col min="1" max="1" width="5" bestFit="1" customWidth="1"/>
    <col min="2" max="4" width="11.5546875" bestFit="1" customWidth="1"/>
    <col min="5" max="34" width="12.6640625" bestFit="1" customWidth="1"/>
    <col min="35" max="35" width="20.77734375" bestFit="1" customWidth="1"/>
    <col min="36" max="36" width="22.77734375" bestFit="1" customWidth="1"/>
    <col min="37" max="37" width="14.21875" bestFit="1" customWidth="1"/>
  </cols>
  <sheetData>
    <row r="1" spans="1:3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50</v>
      </c>
      <c r="AJ1" s="4" t="s">
        <v>53</v>
      </c>
      <c r="AK1" s="4" t="s">
        <v>54</v>
      </c>
    </row>
    <row r="2" spans="1:37" ht="15" x14ac:dyDescent="0.35">
      <c r="A2" s="5">
        <v>1993</v>
      </c>
      <c r="B2" s="7">
        <v>6185001.3499999996</v>
      </c>
      <c r="C2" s="7">
        <f>B2+'tableau complet incremente'!C2</f>
        <v>22662636.787500001</v>
      </c>
      <c r="D2" s="7">
        <f>C2+'tableau complet incremente'!D2</f>
        <v>37222868.758333303</v>
      </c>
      <c r="E2" s="7">
        <f>D2+'tableau complet incremente'!E2</f>
        <v>43203727.9333333</v>
      </c>
      <c r="F2" s="7">
        <f>E2+'tableau complet incremente'!F2</f>
        <v>48732812.145833299</v>
      </c>
      <c r="G2" s="7">
        <f>F2+'tableau complet incremente'!G2</f>
        <v>52045531.200000003</v>
      </c>
      <c r="H2" s="7">
        <f>G2+'tableau complet incremente'!H2</f>
        <v>54302444.6916667</v>
      </c>
      <c r="I2" s="7">
        <f>H2+'tableau complet incremente'!I2</f>
        <v>54865912.575000003</v>
      </c>
      <c r="J2" s="7">
        <v>55247513.945833303</v>
      </c>
      <c r="K2" s="7">
        <v>55601973.170833297</v>
      </c>
      <c r="L2" s="7">
        <v>56015721.720833302</v>
      </c>
      <c r="M2" s="7">
        <v>56024036.016666703</v>
      </c>
      <c r="N2" s="7">
        <v>59456302.497500002</v>
      </c>
      <c r="O2" s="7">
        <v>61610681.2541667</v>
      </c>
      <c r="P2" s="7">
        <v>62086519.987499997</v>
      </c>
      <c r="Q2" s="7">
        <v>62406940.241666697</v>
      </c>
      <c r="R2" s="7">
        <v>62389330.741666697</v>
      </c>
      <c r="S2" s="7">
        <v>62407342.950000003</v>
      </c>
      <c r="T2" s="7">
        <v>62267668.487499997</v>
      </c>
      <c r="U2" s="7">
        <v>62276642.179166697</v>
      </c>
      <c r="V2" s="7">
        <v>62291444.7541667</v>
      </c>
      <c r="W2" s="7">
        <v>62299888.1291667</v>
      </c>
      <c r="X2" s="7">
        <v>62311332.674999997</v>
      </c>
      <c r="Y2" s="7">
        <v>62344016.762500003</v>
      </c>
      <c r="Z2" s="7">
        <v>62338499.104166701</v>
      </c>
      <c r="AA2" s="7">
        <v>62596078.412500001</v>
      </c>
      <c r="AB2" s="7">
        <v>62724537.8166667</v>
      </c>
      <c r="AC2" s="7">
        <v>62788022.354166701</v>
      </c>
      <c r="AD2" s="7">
        <v>63224289.954166703</v>
      </c>
      <c r="AE2" s="7">
        <v>63344293.033333302</v>
      </c>
      <c r="AF2" s="7">
        <v>63432202.970833302</v>
      </c>
      <c r="AG2" s="8">
        <v>63489194.450000003</v>
      </c>
      <c r="AH2" s="27">
        <v>63742420.219672814</v>
      </c>
      <c r="AI2" s="15">
        <v>63489194.450000003</v>
      </c>
      <c r="AJ2" s="30">
        <f>AH2</f>
        <v>63742420.219672814</v>
      </c>
      <c r="AK2" s="30">
        <f>AJ2-AI2</f>
        <v>253225.76967281103</v>
      </c>
    </row>
    <row r="3" spans="1:37" ht="15" x14ac:dyDescent="0.35">
      <c r="A3" s="5">
        <v>1994</v>
      </c>
      <c r="B3" s="7">
        <v>8447485.8291666675</v>
      </c>
      <c r="C3" s="7">
        <v>26669272.283333302</v>
      </c>
      <c r="D3" s="7">
        <v>39750199.158333302</v>
      </c>
      <c r="E3" s="7">
        <v>49089247.345833302</v>
      </c>
      <c r="F3" s="7">
        <v>54562161.649999999</v>
      </c>
      <c r="G3" s="7">
        <v>58963473.654166698</v>
      </c>
      <c r="H3" s="7">
        <v>60572803.395833403</v>
      </c>
      <c r="I3" s="7">
        <v>61846679.016666703</v>
      </c>
      <c r="J3" s="7">
        <v>62753867.783333302</v>
      </c>
      <c r="K3" s="7">
        <v>63250132.5625</v>
      </c>
      <c r="L3" s="7">
        <v>63055235.858333401</v>
      </c>
      <c r="M3" s="7">
        <v>67483183.405833393</v>
      </c>
      <c r="N3" s="7">
        <v>70457600.424999997</v>
      </c>
      <c r="O3" s="7">
        <v>70783581.9458334</v>
      </c>
      <c r="P3" s="7">
        <v>71022083.858333394</v>
      </c>
      <c r="Q3" s="7">
        <v>71070725.637500003</v>
      </c>
      <c r="R3" s="7">
        <v>71020970.629166707</v>
      </c>
      <c r="S3" s="7">
        <v>71330853.8833334</v>
      </c>
      <c r="T3" s="7">
        <v>71424601.6958334</v>
      </c>
      <c r="U3" s="7">
        <v>71501923.491666704</v>
      </c>
      <c r="V3" s="7">
        <v>71505904.7583334</v>
      </c>
      <c r="W3" s="7">
        <v>71495411.125</v>
      </c>
      <c r="X3" s="7">
        <v>71543328.033333406</v>
      </c>
      <c r="Y3" s="7">
        <v>71503977.354166701</v>
      </c>
      <c r="Z3" s="7">
        <v>71696007.166666701</v>
      </c>
      <c r="AA3" s="7">
        <v>71845710.266666695</v>
      </c>
      <c r="AB3" s="7">
        <v>72085551.808333397</v>
      </c>
      <c r="AC3" s="7">
        <v>72517911.066666707</v>
      </c>
      <c r="AD3" s="7">
        <v>72555491.708333403</v>
      </c>
      <c r="AE3" s="7">
        <v>72652776.870833397</v>
      </c>
      <c r="AF3" s="8">
        <v>72666363.983333394</v>
      </c>
      <c r="AG3" s="27">
        <v>72715179.594790965</v>
      </c>
      <c r="AH3" s="27">
        <v>72972012.896763906</v>
      </c>
      <c r="AI3" s="15">
        <v>72666363.983333394</v>
      </c>
      <c r="AJ3" s="30">
        <f t="shared" ref="AJ3:AJ33" si="0">AH3</f>
        <v>72972012.896763906</v>
      </c>
      <c r="AK3" s="30">
        <f t="shared" ref="AK3:AK34" si="1">AJ3-AI3</f>
        <v>305648.91343051195</v>
      </c>
    </row>
    <row r="4" spans="1:37" ht="15" x14ac:dyDescent="0.35">
      <c r="A4" s="5">
        <v>1995</v>
      </c>
      <c r="B4" s="7">
        <v>9650006.4791666679</v>
      </c>
      <c r="C4" s="7">
        <v>26172200.550000001</v>
      </c>
      <c r="D4" s="7">
        <v>43629894.3125</v>
      </c>
      <c r="E4" s="7">
        <v>55074210.866666697</v>
      </c>
      <c r="F4" s="7">
        <v>62014190.162500001</v>
      </c>
      <c r="G4" s="7">
        <v>65214943.758333303</v>
      </c>
      <c r="H4" s="7">
        <v>67547496.037499994</v>
      </c>
      <c r="I4" s="7">
        <v>68780385.529166698</v>
      </c>
      <c r="J4" s="7">
        <v>70102180.733333305</v>
      </c>
      <c r="K4" s="7">
        <v>70368209.916666701</v>
      </c>
      <c r="L4" s="7">
        <v>75657016.037499994</v>
      </c>
      <c r="M4" s="7">
        <v>79450978.933333293</v>
      </c>
      <c r="N4" s="7">
        <v>79527964.995833293</v>
      </c>
      <c r="O4" s="7">
        <v>79654693.283333302</v>
      </c>
      <c r="P4" s="7">
        <v>79762871.945833296</v>
      </c>
      <c r="Q4" s="7">
        <v>79858095.5625</v>
      </c>
      <c r="R4" s="7">
        <v>79923974.991666704</v>
      </c>
      <c r="S4" s="7">
        <v>80063265.279166698</v>
      </c>
      <c r="T4" s="7">
        <v>80085948.875</v>
      </c>
      <c r="U4" s="7">
        <v>80090353.945833296</v>
      </c>
      <c r="V4" s="7">
        <v>80070385.887500003</v>
      </c>
      <c r="W4" s="7">
        <v>80337218.904166698</v>
      </c>
      <c r="X4" s="7">
        <v>80549136.579166606</v>
      </c>
      <c r="Y4" s="7">
        <v>80693623.941666603</v>
      </c>
      <c r="Z4" s="7">
        <v>80711354.104166597</v>
      </c>
      <c r="AA4" s="7">
        <v>80766925.316666603</v>
      </c>
      <c r="AB4" s="7">
        <v>80625417.75</v>
      </c>
      <c r="AC4" s="7">
        <v>81639696.237499997</v>
      </c>
      <c r="AD4" s="7">
        <v>81859943.345833302</v>
      </c>
      <c r="AE4" s="8">
        <v>84090880.587500006</v>
      </c>
      <c r="AF4" s="27">
        <v>84135282.302682668</v>
      </c>
      <c r="AG4" s="27">
        <v>84184814.34606725</v>
      </c>
      <c r="AH4" s="27">
        <v>84445317.970586002</v>
      </c>
      <c r="AI4" s="15">
        <v>84090880.587500006</v>
      </c>
      <c r="AJ4" s="30">
        <f t="shared" si="0"/>
        <v>84445317.970586002</v>
      </c>
      <c r="AK4" s="30">
        <f t="shared" si="1"/>
        <v>354437.38308599591</v>
      </c>
    </row>
    <row r="5" spans="1:37" ht="15" x14ac:dyDescent="0.35">
      <c r="A5" s="5">
        <v>1996</v>
      </c>
      <c r="B5" s="7">
        <v>8642833.6000000015</v>
      </c>
      <c r="C5" s="7">
        <v>27674183.5</v>
      </c>
      <c r="D5" s="7">
        <v>46434817.045833297</v>
      </c>
      <c r="E5" s="7">
        <v>61674228.858333297</v>
      </c>
      <c r="F5" s="7">
        <v>68252688.158333406</v>
      </c>
      <c r="G5" s="7">
        <v>71119625.724999994</v>
      </c>
      <c r="H5" s="7">
        <v>73141445.875</v>
      </c>
      <c r="I5" s="7">
        <v>74254056</v>
      </c>
      <c r="J5" s="7">
        <v>74875818.891666695</v>
      </c>
      <c r="K5" s="7">
        <v>80085044.966666698</v>
      </c>
      <c r="L5" s="7">
        <v>83447477</v>
      </c>
      <c r="M5" s="7">
        <v>83556475.362499997</v>
      </c>
      <c r="N5" s="7">
        <v>83626647.279166698</v>
      </c>
      <c r="O5" s="7">
        <v>83918544.625</v>
      </c>
      <c r="P5" s="7">
        <v>83954547.141666695</v>
      </c>
      <c r="Q5" s="7">
        <v>83935148.333333299</v>
      </c>
      <c r="R5" s="7">
        <v>84005311.729166701</v>
      </c>
      <c r="S5" s="7">
        <v>84056685.595833302</v>
      </c>
      <c r="T5" s="7">
        <v>84052035.174999997</v>
      </c>
      <c r="U5" s="7">
        <v>83877873.424999997</v>
      </c>
      <c r="V5" s="7">
        <v>84019821.512500003</v>
      </c>
      <c r="W5" s="7">
        <v>83986952.616666704</v>
      </c>
      <c r="X5" s="7">
        <v>84119470.612499997</v>
      </c>
      <c r="Y5" s="7">
        <v>84149575.458333299</v>
      </c>
      <c r="Z5" s="7">
        <v>84331286.429166704</v>
      </c>
      <c r="AA5" s="7">
        <v>84538910.033333406</v>
      </c>
      <c r="AB5" s="7">
        <v>84649754.604166701</v>
      </c>
      <c r="AC5" s="7">
        <v>84448505.783333406</v>
      </c>
      <c r="AD5" s="8">
        <v>84426967.174999997</v>
      </c>
      <c r="AE5" s="27">
        <v>85159973.276470333</v>
      </c>
      <c r="AF5" s="27">
        <v>85205026.643971205</v>
      </c>
      <c r="AG5" s="27">
        <v>85255285.633843437</v>
      </c>
      <c r="AH5" s="27">
        <v>85517977.535752386</v>
      </c>
      <c r="AI5" s="15">
        <v>84426967.174999997</v>
      </c>
      <c r="AJ5" s="30">
        <f t="shared" si="0"/>
        <v>85517977.535752386</v>
      </c>
      <c r="AK5" s="30">
        <f t="shared" si="1"/>
        <v>1091010.3607523888</v>
      </c>
    </row>
    <row r="6" spans="1:37" ht="15" x14ac:dyDescent="0.35">
      <c r="A6" s="5">
        <v>1997</v>
      </c>
      <c r="B6" s="7">
        <v>8686941.6291666664</v>
      </c>
      <c r="C6" s="7">
        <v>28596777.645833299</v>
      </c>
      <c r="D6" s="7">
        <v>51082151.950000003</v>
      </c>
      <c r="E6" s="7">
        <v>66157706.020833299</v>
      </c>
      <c r="F6" s="7">
        <v>73563633.200000003</v>
      </c>
      <c r="G6" s="7">
        <v>77465355.849999994</v>
      </c>
      <c r="H6" s="7">
        <v>80751994.5625</v>
      </c>
      <c r="I6" s="7">
        <v>83386932.012500003</v>
      </c>
      <c r="J6" s="7">
        <v>90496024.349166706</v>
      </c>
      <c r="K6" s="7">
        <v>95130525.037499994</v>
      </c>
      <c r="L6" s="7">
        <v>96157240.012500003</v>
      </c>
      <c r="M6" s="7">
        <v>96594597.658333406</v>
      </c>
      <c r="N6" s="7">
        <v>96663664.087500006</v>
      </c>
      <c r="O6" s="7">
        <v>96695828.362499997</v>
      </c>
      <c r="P6" s="7">
        <v>96688476.870833397</v>
      </c>
      <c r="Q6" s="7">
        <v>97098776.191666707</v>
      </c>
      <c r="R6" s="7">
        <v>97108688.816666707</v>
      </c>
      <c r="S6" s="7">
        <v>97123409.020833403</v>
      </c>
      <c r="T6" s="7">
        <v>97143708.412499994</v>
      </c>
      <c r="U6" s="7">
        <v>96855625.895833403</v>
      </c>
      <c r="V6" s="7">
        <v>96995509.233333394</v>
      </c>
      <c r="W6" s="7">
        <v>97227090.737499997</v>
      </c>
      <c r="X6" s="7">
        <v>97380776.495833397</v>
      </c>
      <c r="Y6" s="7">
        <v>97354424.479166701</v>
      </c>
      <c r="Z6" s="7">
        <v>97463193.370833397</v>
      </c>
      <c r="AA6" s="7">
        <v>97410819.670833394</v>
      </c>
      <c r="AB6" s="7">
        <v>97641688.691666707</v>
      </c>
      <c r="AC6" s="8">
        <v>97729056.962500006</v>
      </c>
      <c r="AD6" s="27">
        <v>97888065.745941624</v>
      </c>
      <c r="AE6" s="27">
        <v>98631829.655377701</v>
      </c>
      <c r="AF6" s="27">
        <v>98677544.239033267</v>
      </c>
      <c r="AG6" s="27">
        <v>98728540.844268471</v>
      </c>
      <c r="AH6" s="27">
        <v>98994733.423517317</v>
      </c>
      <c r="AI6" s="15">
        <v>97729056.962500006</v>
      </c>
      <c r="AJ6" s="30">
        <f t="shared" si="0"/>
        <v>98994733.423517317</v>
      </c>
      <c r="AK6" s="30">
        <f t="shared" si="1"/>
        <v>1265676.4610173106</v>
      </c>
    </row>
    <row r="7" spans="1:37" ht="15" x14ac:dyDescent="0.35">
      <c r="A7" s="5">
        <v>1998</v>
      </c>
      <c r="B7" s="7">
        <v>8406470.9874999989</v>
      </c>
      <c r="C7" s="7">
        <v>33569386.429166697</v>
      </c>
      <c r="D7" s="7">
        <v>56225915.516666703</v>
      </c>
      <c r="E7" s="7">
        <v>69856891.537499994</v>
      </c>
      <c r="F7" s="7">
        <v>77318600.395833299</v>
      </c>
      <c r="G7" s="7">
        <v>82465415.833333299</v>
      </c>
      <c r="H7" s="7">
        <v>85262693.104166701</v>
      </c>
      <c r="I7" s="7">
        <v>91878493.244166702</v>
      </c>
      <c r="J7" s="7">
        <v>97034656.287499994</v>
      </c>
      <c r="K7" s="7">
        <v>97611430.783333406</v>
      </c>
      <c r="L7" s="7">
        <v>98058366.441666707</v>
      </c>
      <c r="M7" s="7">
        <v>98030539.525000006</v>
      </c>
      <c r="N7" s="7">
        <v>97990427.879166707</v>
      </c>
      <c r="O7" s="7">
        <v>98139585.375</v>
      </c>
      <c r="P7" s="7">
        <v>98270182.174999997</v>
      </c>
      <c r="Q7" s="7">
        <v>98318886.891666695</v>
      </c>
      <c r="R7" s="7">
        <v>98341939.158333406</v>
      </c>
      <c r="S7" s="7">
        <v>98392690.450000003</v>
      </c>
      <c r="T7" s="7">
        <v>98620078.229166701</v>
      </c>
      <c r="U7" s="7">
        <v>98678347.287499994</v>
      </c>
      <c r="V7" s="7">
        <v>98919100.979166701</v>
      </c>
      <c r="W7" s="7">
        <v>99074660.520833403</v>
      </c>
      <c r="X7" s="7">
        <v>99191459.75</v>
      </c>
      <c r="Y7" s="7">
        <v>99602902.6958334</v>
      </c>
      <c r="Z7" s="7">
        <v>99697668.683333397</v>
      </c>
      <c r="AA7" s="7">
        <v>100089538.091667</v>
      </c>
      <c r="AB7" s="8">
        <v>100610227.77500001</v>
      </c>
      <c r="AC7" s="27">
        <v>100893954.78809975</v>
      </c>
      <c r="AD7" s="27">
        <v>101055297.23009305</v>
      </c>
      <c r="AE7" s="27">
        <v>101809976.83217275</v>
      </c>
      <c r="AF7" s="27">
        <v>101856362.3361811</v>
      </c>
      <c r="AG7" s="27">
        <v>101908107.38223408</v>
      </c>
      <c r="AH7" s="27">
        <v>102177573.83541951</v>
      </c>
      <c r="AI7" s="15">
        <v>100610227.77500001</v>
      </c>
      <c r="AJ7" s="30">
        <f t="shared" si="0"/>
        <v>102177573.83541951</v>
      </c>
      <c r="AK7" s="30">
        <f t="shared" si="1"/>
        <v>1567346.0604194999</v>
      </c>
    </row>
    <row r="8" spans="1:37" ht="15" x14ac:dyDescent="0.35">
      <c r="A8" s="5">
        <v>1999</v>
      </c>
      <c r="B8" s="7">
        <v>9854142.645833334</v>
      </c>
      <c r="C8" s="7">
        <v>33501760.9416667</v>
      </c>
      <c r="D8" s="7">
        <v>57682620.141666703</v>
      </c>
      <c r="E8" s="7">
        <v>72012964.154166698</v>
      </c>
      <c r="F8" s="7">
        <v>79447232.383333296</v>
      </c>
      <c r="G8" s="7">
        <v>84108022.320833296</v>
      </c>
      <c r="H8" s="7">
        <v>92799907.364166707</v>
      </c>
      <c r="I8" s="7">
        <v>99349954.954166695</v>
      </c>
      <c r="J8" s="7">
        <v>99695050.345833302</v>
      </c>
      <c r="K8" s="7">
        <v>100061288.01666699</v>
      </c>
      <c r="L8" s="7">
        <v>100362607.945833</v>
      </c>
      <c r="M8" s="7">
        <v>100693516.675</v>
      </c>
      <c r="N8" s="7">
        <v>100884700.458333</v>
      </c>
      <c r="O8" s="7">
        <v>101144947.99583299</v>
      </c>
      <c r="P8" s="7">
        <v>101402456.65000001</v>
      </c>
      <c r="Q8" s="7">
        <v>101453934.00416701</v>
      </c>
      <c r="R8" s="7">
        <v>101549766.48333301</v>
      </c>
      <c r="S8" s="7">
        <v>101754034.9375</v>
      </c>
      <c r="T8" s="7">
        <v>101655635.229167</v>
      </c>
      <c r="U8" s="7">
        <v>101874347.04583301</v>
      </c>
      <c r="V8" s="7">
        <v>101879429.416667</v>
      </c>
      <c r="W8" s="7">
        <v>101889401.3</v>
      </c>
      <c r="X8" s="7">
        <v>102078478.020833</v>
      </c>
      <c r="Y8" s="7">
        <v>101831790.595833</v>
      </c>
      <c r="Z8" s="7">
        <v>101981009.616667</v>
      </c>
      <c r="AA8" s="8">
        <v>101916438.20416699</v>
      </c>
      <c r="AB8" s="27">
        <v>102104091.87214401</v>
      </c>
      <c r="AC8" s="27">
        <v>102391982.94433616</v>
      </c>
      <c r="AD8" s="27">
        <v>102555693.29432395</v>
      </c>
      <c r="AE8" s="27">
        <v>103321448.79088604</v>
      </c>
      <c r="AF8" s="27">
        <v>103368515.06186689</v>
      </c>
      <c r="AG8" s="27">
        <v>103421019.53306995</v>
      </c>
      <c r="AH8" s="27">
        <v>103694022.19728075</v>
      </c>
      <c r="AI8" s="15">
        <v>101916438.20416699</v>
      </c>
      <c r="AJ8" s="30">
        <f t="shared" si="0"/>
        <v>103694022.19728075</v>
      </c>
      <c r="AK8" s="30">
        <f t="shared" si="1"/>
        <v>1777583.9931137562</v>
      </c>
    </row>
    <row r="9" spans="1:37" ht="15" x14ac:dyDescent="0.35">
      <c r="A9" s="5">
        <v>2000</v>
      </c>
      <c r="B9" s="7">
        <v>7989981.5625</v>
      </c>
      <c r="C9" s="7">
        <v>33420719.779166698</v>
      </c>
      <c r="D9" s="7">
        <v>60773952.929166697</v>
      </c>
      <c r="E9" s="7">
        <v>76778541.004166707</v>
      </c>
      <c r="F9" s="7">
        <v>84634975.070833296</v>
      </c>
      <c r="G9" s="7">
        <v>94133199.120833293</v>
      </c>
      <c r="H9" s="7">
        <v>102646943.529167</v>
      </c>
      <c r="I9" s="7">
        <v>103197694.3875</v>
      </c>
      <c r="J9" s="7">
        <v>103845433.075</v>
      </c>
      <c r="K9" s="7">
        <v>104101770.8125</v>
      </c>
      <c r="L9" s="7">
        <v>104237237.220833</v>
      </c>
      <c r="M9" s="7">
        <v>104304536.758333</v>
      </c>
      <c r="N9" s="7">
        <v>104548947.154167</v>
      </c>
      <c r="O9" s="7">
        <v>104624730.383333</v>
      </c>
      <c r="P9" s="7">
        <v>104595272.791667</v>
      </c>
      <c r="Q9" s="7">
        <v>104629077.208333</v>
      </c>
      <c r="R9" s="7">
        <v>104789055.904167</v>
      </c>
      <c r="S9" s="7">
        <v>104743948.708333</v>
      </c>
      <c r="T9" s="7">
        <v>104849394.6875</v>
      </c>
      <c r="U9" s="7">
        <v>104830791.258333</v>
      </c>
      <c r="V9" s="7">
        <v>104787622.56666701</v>
      </c>
      <c r="W9" s="7">
        <v>104871683.0125</v>
      </c>
      <c r="X9" s="7">
        <v>104734435.44166701</v>
      </c>
      <c r="Y9" s="7">
        <v>104735036.625</v>
      </c>
      <c r="Z9" s="8">
        <v>104689057.229167</v>
      </c>
      <c r="AA9" s="27">
        <v>104830785.80066209</v>
      </c>
      <c r="AB9" s="27">
        <v>105021193.52773918</v>
      </c>
      <c r="AC9" s="27">
        <v>105313309.77195033</v>
      </c>
      <c r="AD9" s="27">
        <v>105479422.78203011</v>
      </c>
      <c r="AE9" s="27">
        <v>106256416.72608151</v>
      </c>
      <c r="AF9" s="27">
        <v>106304173.75516637</v>
      </c>
      <c r="AG9" s="27">
        <v>106357448.79706101</v>
      </c>
      <c r="AH9" s="27">
        <v>106634142.00532444</v>
      </c>
      <c r="AI9" s="15">
        <v>104689057.229167</v>
      </c>
      <c r="AJ9" s="30">
        <f t="shared" si="0"/>
        <v>106634142.00532444</v>
      </c>
      <c r="AK9" s="30">
        <f t="shared" si="1"/>
        <v>1945084.7761574388</v>
      </c>
    </row>
    <row r="10" spans="1:37" ht="15" x14ac:dyDescent="0.35">
      <c r="A10" s="5">
        <v>2001</v>
      </c>
      <c r="B10" s="7">
        <v>9140247.9958333336</v>
      </c>
      <c r="C10" s="7">
        <v>37331795.462499999</v>
      </c>
      <c r="D10" s="7">
        <v>64710604.283333302</v>
      </c>
      <c r="E10" s="7">
        <v>78516719.237499997</v>
      </c>
      <c r="F10" s="7">
        <v>88715909.711666703</v>
      </c>
      <c r="G10" s="7">
        <v>97660941.0541666</v>
      </c>
      <c r="H10" s="7">
        <v>99235069.708333299</v>
      </c>
      <c r="I10" s="7">
        <v>99956734.3041666</v>
      </c>
      <c r="J10" s="7">
        <v>100498601.21250001</v>
      </c>
      <c r="K10" s="7">
        <v>100825303.67083301</v>
      </c>
      <c r="L10" s="7">
        <v>100871010</v>
      </c>
      <c r="M10" s="7">
        <v>101247065.529167</v>
      </c>
      <c r="N10" s="7">
        <v>101612691.883333</v>
      </c>
      <c r="O10" s="7">
        <v>101655550.90000001</v>
      </c>
      <c r="P10" s="7">
        <v>101557781.96250001</v>
      </c>
      <c r="Q10" s="7">
        <v>101851977.041667</v>
      </c>
      <c r="R10" s="7">
        <v>102185289.425</v>
      </c>
      <c r="S10" s="7">
        <v>102044863.14166699</v>
      </c>
      <c r="T10" s="7">
        <v>101859855.89166699</v>
      </c>
      <c r="U10" s="7">
        <v>102081933.23333301</v>
      </c>
      <c r="V10" s="7">
        <v>102065731.0125</v>
      </c>
      <c r="W10" s="7">
        <v>102013851.241667</v>
      </c>
      <c r="X10" s="7">
        <v>102082672.30833299</v>
      </c>
      <c r="Y10" s="8">
        <v>102159370.875</v>
      </c>
      <c r="Z10" s="27">
        <v>102250511.01272407</v>
      </c>
      <c r="AA10" s="27">
        <v>102394319.63341977</v>
      </c>
      <c r="AB10" s="27">
        <v>102587521.83895887</v>
      </c>
      <c r="AC10" s="27">
        <v>102883925.26502648</v>
      </c>
      <c r="AD10" s="27">
        <v>103052476.19732744</v>
      </c>
      <c r="AE10" s="27">
        <v>103840873.52754967</v>
      </c>
      <c r="AF10" s="27">
        <v>103889331.45250276</v>
      </c>
      <c r="AG10" s="27">
        <v>103943388.37420565</v>
      </c>
      <c r="AH10" s="27">
        <v>104223939.12602168</v>
      </c>
      <c r="AI10" s="15">
        <v>102159370.875</v>
      </c>
      <c r="AJ10" s="30">
        <f t="shared" si="0"/>
        <v>104223939.12602168</v>
      </c>
      <c r="AK10" s="30">
        <f t="shared" si="1"/>
        <v>2064568.2510216832</v>
      </c>
    </row>
    <row r="11" spans="1:37" ht="15" x14ac:dyDescent="0.35">
      <c r="A11" s="5">
        <v>2002</v>
      </c>
      <c r="B11" s="7">
        <v>8982265.8041666672</v>
      </c>
      <c r="C11" s="7">
        <v>35007210.479166701</v>
      </c>
      <c r="D11" s="7">
        <v>57605111.595833302</v>
      </c>
      <c r="E11" s="7">
        <v>76035714.741666704</v>
      </c>
      <c r="F11" s="7">
        <v>90555900.654166594</v>
      </c>
      <c r="G11" s="7">
        <v>94498666.333333299</v>
      </c>
      <c r="H11" s="7">
        <v>96047437.424999997</v>
      </c>
      <c r="I11" s="7">
        <v>97300987.720833302</v>
      </c>
      <c r="J11" s="7">
        <v>98691947.487499997</v>
      </c>
      <c r="K11" s="7">
        <v>99076222.037499994</v>
      </c>
      <c r="L11" s="7">
        <v>99280409.962500006</v>
      </c>
      <c r="M11" s="7">
        <v>99425110.795833305</v>
      </c>
      <c r="N11" s="7">
        <v>99225358.829166695</v>
      </c>
      <c r="O11" s="7">
        <v>99319687.091666698</v>
      </c>
      <c r="P11" s="7">
        <v>99465985.091666594</v>
      </c>
      <c r="Q11" s="7">
        <v>99530484.849999994</v>
      </c>
      <c r="R11" s="7">
        <v>99479021.479166597</v>
      </c>
      <c r="S11" s="7">
        <v>99818143.791666597</v>
      </c>
      <c r="T11" s="7">
        <v>99915557.083333299</v>
      </c>
      <c r="U11" s="7">
        <v>100246280.5125</v>
      </c>
      <c r="V11" s="7">
        <v>100492584.470833</v>
      </c>
      <c r="W11" s="7">
        <v>100345832.43333299</v>
      </c>
      <c r="X11" s="8">
        <v>100330450.01666699</v>
      </c>
      <c r="Y11" s="27">
        <v>100375816.3278171</v>
      </c>
      <c r="Z11" s="27">
        <v>100468294.06436557</v>
      </c>
      <c r="AA11" s="27">
        <v>100614213.26166104</v>
      </c>
      <c r="AB11" s="27">
        <v>100810250.95823027</v>
      </c>
      <c r="AC11" s="27">
        <v>101111004.48606595</v>
      </c>
      <c r="AD11" s="27">
        <v>101282029.12023447</v>
      </c>
      <c r="AE11" s="27">
        <v>102081997.19599649</v>
      </c>
      <c r="AF11" s="27">
        <v>102131166.30336678</v>
      </c>
      <c r="AG11" s="27">
        <v>102186016.57997045</v>
      </c>
      <c r="AH11" s="27">
        <v>102470583.58693169</v>
      </c>
      <c r="AI11" s="15">
        <v>100330450.01666699</v>
      </c>
      <c r="AJ11" s="30">
        <f t="shared" si="0"/>
        <v>102470583.58693169</v>
      </c>
      <c r="AK11" s="30">
        <f t="shared" si="1"/>
        <v>2140133.5702646971</v>
      </c>
    </row>
    <row r="12" spans="1:37" ht="15" x14ac:dyDescent="0.35">
      <c r="A12" s="5">
        <v>2003</v>
      </c>
      <c r="B12" s="7">
        <v>9310300.7583333347</v>
      </c>
      <c r="C12" s="7">
        <v>36988681.545833297</v>
      </c>
      <c r="D12" s="7">
        <v>66979925.502499998</v>
      </c>
      <c r="E12" s="7">
        <v>95586684.924999997</v>
      </c>
      <c r="F12" s="7">
        <v>103075004.375</v>
      </c>
      <c r="G12" s="7">
        <v>107215759.3625</v>
      </c>
      <c r="H12" s="7">
        <v>109377964.595833</v>
      </c>
      <c r="I12" s="7">
        <v>111170746.18333299</v>
      </c>
      <c r="J12" s="7">
        <v>112023966.05833299</v>
      </c>
      <c r="K12" s="7">
        <v>112562589.26666699</v>
      </c>
      <c r="L12" s="7">
        <v>112567923.908333</v>
      </c>
      <c r="M12" s="7">
        <v>112547369.56666701</v>
      </c>
      <c r="N12" s="7">
        <v>112331076.87916701</v>
      </c>
      <c r="O12" s="7">
        <v>112621478.16249999</v>
      </c>
      <c r="P12" s="7">
        <v>112743380.09999999</v>
      </c>
      <c r="Q12" s="7">
        <v>113044356.0625</v>
      </c>
      <c r="R12" s="7">
        <v>113462540.116667</v>
      </c>
      <c r="S12" s="7">
        <v>113519101.029167</v>
      </c>
      <c r="T12" s="7">
        <v>114164451.425</v>
      </c>
      <c r="U12" s="7">
        <v>114122589.84999999</v>
      </c>
      <c r="V12" s="7">
        <v>114375378.583333</v>
      </c>
      <c r="W12" s="8">
        <v>114348859.95</v>
      </c>
      <c r="X12" s="27">
        <v>114431972.56967351</v>
      </c>
      <c r="Y12" s="27">
        <v>114478004.68982914</v>
      </c>
      <c r="Z12" s="27">
        <v>114571839.65618634</v>
      </c>
      <c r="AA12" s="27">
        <v>114719900.40550965</v>
      </c>
      <c r="AB12" s="27">
        <v>114918815.20758934</v>
      </c>
      <c r="AC12" s="27">
        <v>115223982.68053542</v>
      </c>
      <c r="AD12" s="27">
        <v>115397517.32133022</v>
      </c>
      <c r="AE12" s="27">
        <v>116209225.95821513</v>
      </c>
      <c r="AF12" s="27">
        <v>116259116.68551992</v>
      </c>
      <c r="AG12" s="27">
        <v>116314771.96052863</v>
      </c>
      <c r="AH12" s="27">
        <v>116603329.97431569</v>
      </c>
      <c r="AI12" s="15">
        <v>114348859.95</v>
      </c>
      <c r="AJ12" s="30">
        <f t="shared" si="0"/>
        <v>116603329.97431569</v>
      </c>
      <c r="AK12" s="30">
        <f t="shared" si="1"/>
        <v>2254470.024315685</v>
      </c>
    </row>
    <row r="13" spans="1:37" ht="15" x14ac:dyDescent="0.35">
      <c r="A13" s="5">
        <v>2004</v>
      </c>
      <c r="B13" s="7">
        <v>9772040.8750000019</v>
      </c>
      <c r="C13" s="7">
        <v>34200572.822499998</v>
      </c>
      <c r="D13" s="7">
        <v>63386739.5666667</v>
      </c>
      <c r="E13" s="7">
        <v>75725913.041666701</v>
      </c>
      <c r="F13" s="7">
        <v>82021303.583333299</v>
      </c>
      <c r="G13" s="7">
        <v>85521135.9375</v>
      </c>
      <c r="H13" s="7">
        <v>87286666.208333299</v>
      </c>
      <c r="I13" s="7">
        <v>89509598.724999994</v>
      </c>
      <c r="J13" s="7">
        <v>90355039.870833293</v>
      </c>
      <c r="K13" s="7">
        <v>91416543.854166701</v>
      </c>
      <c r="L13" s="7">
        <v>91373947.462500006</v>
      </c>
      <c r="M13" s="7">
        <v>91478738.329166695</v>
      </c>
      <c r="N13" s="7">
        <v>91901838.933333293</v>
      </c>
      <c r="O13" s="7">
        <v>92891572.245833293</v>
      </c>
      <c r="P13" s="7">
        <v>92666679.441666707</v>
      </c>
      <c r="Q13" s="7">
        <v>92627650.379166707</v>
      </c>
      <c r="R13" s="7">
        <v>92802918.558333293</v>
      </c>
      <c r="S13" s="7">
        <v>92746349.558333293</v>
      </c>
      <c r="T13" s="7">
        <v>92504672.266666695</v>
      </c>
      <c r="U13" s="7">
        <v>92441944.762500003</v>
      </c>
      <c r="V13" s="8">
        <v>93024656.141666695</v>
      </c>
      <c r="W13" s="27">
        <v>93074091.416705579</v>
      </c>
      <c r="X13" s="27">
        <v>93158423.821044162</v>
      </c>
      <c r="Y13" s="27">
        <v>93205131.521809429</v>
      </c>
      <c r="Z13" s="27">
        <v>93300343.637069643</v>
      </c>
      <c r="AA13" s="27">
        <v>93450577.368453115</v>
      </c>
      <c r="AB13" s="27">
        <v>93652411.501269653</v>
      </c>
      <c r="AC13" s="27">
        <v>93962057.699651659</v>
      </c>
      <c r="AD13" s="27">
        <v>94138139.184650525</v>
      </c>
      <c r="AE13" s="27">
        <v>94961760.690503672</v>
      </c>
      <c r="AF13" s="27">
        <v>95012383.628444284</v>
      </c>
      <c r="AG13" s="27">
        <v>95068855.716245726</v>
      </c>
      <c r="AH13" s="27">
        <v>95361538.426348716</v>
      </c>
      <c r="AI13" s="15">
        <v>93024656.141666695</v>
      </c>
      <c r="AJ13" s="30">
        <f t="shared" si="0"/>
        <v>95361538.426348716</v>
      </c>
      <c r="AK13" s="30">
        <f t="shared" si="1"/>
        <v>2336882.2846820205</v>
      </c>
    </row>
    <row r="14" spans="1:37" ht="15" x14ac:dyDescent="0.35">
      <c r="A14" s="5">
        <v>2005</v>
      </c>
      <c r="B14" s="7">
        <v>7680670.4825000018</v>
      </c>
      <c r="C14" s="7">
        <v>36126608.304166697</v>
      </c>
      <c r="D14" s="7">
        <v>56190576.4291666</v>
      </c>
      <c r="E14" s="7">
        <v>68652534.920833305</v>
      </c>
      <c r="F14" s="7">
        <v>74350004.133333296</v>
      </c>
      <c r="G14" s="7">
        <v>77341458.912499994</v>
      </c>
      <c r="H14" s="7">
        <v>78628271.6875</v>
      </c>
      <c r="I14" s="7">
        <v>79360494.1791666</v>
      </c>
      <c r="J14" s="7">
        <v>80258372.091666698</v>
      </c>
      <c r="K14" s="7">
        <v>82215767.979166597</v>
      </c>
      <c r="L14" s="7">
        <v>82955499.395833299</v>
      </c>
      <c r="M14" s="7">
        <v>82523209.095833302</v>
      </c>
      <c r="N14" s="7">
        <v>82528416.445833296</v>
      </c>
      <c r="O14" s="7">
        <v>82612047.287499994</v>
      </c>
      <c r="P14" s="7">
        <v>82529199.733333305</v>
      </c>
      <c r="Q14" s="7">
        <v>82659400.091666698</v>
      </c>
      <c r="R14" s="7">
        <v>83055292.354166701</v>
      </c>
      <c r="S14" s="7">
        <v>83261828.287499994</v>
      </c>
      <c r="T14" s="7">
        <v>83309818.758333296</v>
      </c>
      <c r="U14" s="8">
        <v>83186246.070833296</v>
      </c>
      <c r="V14" s="27">
        <v>83331429.56787774</v>
      </c>
      <c r="W14" s="27">
        <v>83381590.369204238</v>
      </c>
      <c r="X14" s="27">
        <v>83467160.460117787</v>
      </c>
      <c r="Y14" s="27">
        <v>83514553.656507641</v>
      </c>
      <c r="Z14" s="27">
        <v>83611163.132103488</v>
      </c>
      <c r="AA14" s="27">
        <v>83763601.736855626</v>
      </c>
      <c r="AB14" s="27">
        <v>83968398.045344934</v>
      </c>
      <c r="AC14" s="27">
        <v>84282588.700223044</v>
      </c>
      <c r="AD14" s="27">
        <v>84461254.407642618</v>
      </c>
      <c r="AE14" s="27">
        <v>85296963.619148746</v>
      </c>
      <c r="AF14" s="27">
        <v>85348329.513858646</v>
      </c>
      <c r="AG14" s="27">
        <v>85405630.402231827</v>
      </c>
      <c r="AH14" s="27">
        <v>85702284.780280486</v>
      </c>
      <c r="AI14" s="15">
        <v>83186246.070833296</v>
      </c>
      <c r="AJ14" s="30">
        <f t="shared" si="0"/>
        <v>85702284.780280486</v>
      </c>
      <c r="AK14" s="30">
        <f t="shared" si="1"/>
        <v>2516038.7094471902</v>
      </c>
    </row>
    <row r="15" spans="1:37" ht="15" x14ac:dyDescent="0.35">
      <c r="A15" s="5">
        <v>2006</v>
      </c>
      <c r="B15" s="7">
        <v>9666714.6749999989</v>
      </c>
      <c r="C15" s="7">
        <v>30446319.024999999</v>
      </c>
      <c r="D15" s="7">
        <v>47280180.6875</v>
      </c>
      <c r="E15" s="7">
        <v>55664730.6208333</v>
      </c>
      <c r="F15" s="7">
        <v>60965353.666666701</v>
      </c>
      <c r="G15" s="7">
        <v>63387761.966666698</v>
      </c>
      <c r="H15" s="7">
        <v>65346131.825000003</v>
      </c>
      <c r="I15" s="7">
        <v>66852171.987499997</v>
      </c>
      <c r="J15" s="7">
        <v>67479097.341666698</v>
      </c>
      <c r="K15" s="7">
        <v>67749406.904166698</v>
      </c>
      <c r="L15" s="7">
        <v>67982754.049999997</v>
      </c>
      <c r="M15" s="7">
        <v>68308232.116666704</v>
      </c>
      <c r="N15" s="7">
        <v>68801969.508333296</v>
      </c>
      <c r="O15" s="7">
        <v>69198314.354166701</v>
      </c>
      <c r="P15" s="7">
        <v>69144585.279166698</v>
      </c>
      <c r="Q15" s="7">
        <v>70071536.204166695</v>
      </c>
      <c r="R15" s="7">
        <v>70213231.700000003</v>
      </c>
      <c r="S15" s="7">
        <v>70254387.358333305</v>
      </c>
      <c r="T15" s="8">
        <v>70580025.658333302</v>
      </c>
      <c r="U15" s="27">
        <v>70598454.416302711</v>
      </c>
      <c r="V15" s="27">
        <v>70745768.668026909</v>
      </c>
      <c r="W15" s="27">
        <v>70796665.643673092</v>
      </c>
      <c r="X15" s="27">
        <v>70883491.585805088</v>
      </c>
      <c r="Y15" s="27">
        <v>70931580.338350087</v>
      </c>
      <c r="Z15" s="27">
        <v>71029607.682343006</v>
      </c>
      <c r="AA15" s="27">
        <v>71184283.519818306</v>
      </c>
      <c r="AB15" s="27">
        <v>71392085.477720901</v>
      </c>
      <c r="AC15" s="27">
        <v>71710887.284843206</v>
      </c>
      <c r="AD15" s="27">
        <v>71892175.141473576</v>
      </c>
      <c r="AE15" s="27">
        <v>72740149.461270824</v>
      </c>
      <c r="AF15" s="27">
        <v>72792269.216596857</v>
      </c>
      <c r="AG15" s="27">
        <v>72850411.069256887</v>
      </c>
      <c r="AH15" s="27">
        <v>73151378.12731345</v>
      </c>
      <c r="AI15" s="15">
        <v>70580025.658333302</v>
      </c>
      <c r="AJ15" s="30">
        <f t="shared" si="0"/>
        <v>73151378.12731345</v>
      </c>
      <c r="AK15" s="30">
        <f t="shared" si="1"/>
        <v>2571352.4689801484</v>
      </c>
    </row>
    <row r="16" spans="1:37" ht="15" x14ac:dyDescent="0.35">
      <c r="A16" s="5">
        <v>2007</v>
      </c>
      <c r="B16" s="7">
        <v>7688889.9833333343</v>
      </c>
      <c r="C16" s="7">
        <v>28397884.445833299</v>
      </c>
      <c r="D16" s="7">
        <v>46001559.337499999</v>
      </c>
      <c r="E16" s="7">
        <v>56845003.358333297</v>
      </c>
      <c r="F16" s="7">
        <v>61061280.237499997</v>
      </c>
      <c r="G16" s="7">
        <v>64603390.6916667</v>
      </c>
      <c r="H16" s="7">
        <v>66259497.625</v>
      </c>
      <c r="I16" s="7">
        <v>67034062.887500003</v>
      </c>
      <c r="J16" s="7">
        <v>67466261.983333305</v>
      </c>
      <c r="K16" s="7">
        <v>67932431.445833296</v>
      </c>
      <c r="L16" s="7">
        <v>69482146.362499997</v>
      </c>
      <c r="M16" s="7">
        <v>69334631.520833299</v>
      </c>
      <c r="N16" s="7">
        <v>69184023.070833296</v>
      </c>
      <c r="O16" s="7">
        <v>68634356.916666701</v>
      </c>
      <c r="P16" s="7">
        <v>68932655.674999997</v>
      </c>
      <c r="Q16" s="7">
        <v>69180075.049999997</v>
      </c>
      <c r="R16" s="7">
        <v>69050502.924999997</v>
      </c>
      <c r="S16" s="8">
        <v>69046402.245833293</v>
      </c>
      <c r="T16" s="27">
        <v>69121608.619125292</v>
      </c>
      <c r="U16" s="27">
        <v>69140307.842836916</v>
      </c>
      <c r="V16" s="27">
        <v>69289784.120808214</v>
      </c>
      <c r="W16" s="27">
        <v>69341428.075079739</v>
      </c>
      <c r="X16" s="27">
        <v>69429528.299663171</v>
      </c>
      <c r="Y16" s="27">
        <v>69478322.816545129</v>
      </c>
      <c r="Z16" s="27">
        <v>69577788.837978721</v>
      </c>
      <c r="AA16" s="27">
        <v>69734734.742446855</v>
      </c>
      <c r="AB16" s="27">
        <v>69945586.461536333</v>
      </c>
      <c r="AC16" s="27">
        <v>70269067.095496878</v>
      </c>
      <c r="AD16" s="27">
        <v>70453015.584752604</v>
      </c>
      <c r="AE16" s="27">
        <v>71313435.019091129</v>
      </c>
      <c r="AF16" s="27">
        <v>71366319.698908091</v>
      </c>
      <c r="AG16" s="27">
        <v>71425314.85808827</v>
      </c>
      <c r="AH16" s="27">
        <v>71730531.249478862</v>
      </c>
      <c r="AI16" s="15">
        <v>69046402.245833293</v>
      </c>
      <c r="AJ16" s="30">
        <f t="shared" si="0"/>
        <v>71730531.249478862</v>
      </c>
      <c r="AK16" s="30">
        <f t="shared" si="1"/>
        <v>2684129.0036455691</v>
      </c>
    </row>
    <row r="17" spans="1:37" ht="15" x14ac:dyDescent="0.35">
      <c r="A17" s="5">
        <v>2008</v>
      </c>
      <c r="B17" s="7">
        <v>7564842.9916666672</v>
      </c>
      <c r="C17" s="7">
        <v>30965309.8125</v>
      </c>
      <c r="D17" s="7">
        <v>48594721.220833302</v>
      </c>
      <c r="E17" s="7">
        <v>57590859.3791667</v>
      </c>
      <c r="F17" s="7">
        <v>62427811.987499997</v>
      </c>
      <c r="G17" s="7">
        <v>65902160.733333297</v>
      </c>
      <c r="H17" s="7">
        <v>66730187.4333333</v>
      </c>
      <c r="I17" s="7">
        <v>67255612.549999997</v>
      </c>
      <c r="J17" s="7">
        <v>67925332.700000003</v>
      </c>
      <c r="K17" s="7">
        <v>68817419.579166695</v>
      </c>
      <c r="L17" s="7">
        <v>68434374.424999997</v>
      </c>
      <c r="M17" s="7">
        <v>68320391.025000006</v>
      </c>
      <c r="N17" s="7">
        <v>68239587.404166698</v>
      </c>
      <c r="O17" s="7">
        <v>68779426.833333299</v>
      </c>
      <c r="P17" s="7">
        <v>68804065.75</v>
      </c>
      <c r="Q17" s="7">
        <v>68796085.329166695</v>
      </c>
      <c r="R17" s="8">
        <v>69243020</v>
      </c>
      <c r="S17" s="27">
        <v>69334867.698541149</v>
      </c>
      <c r="T17" s="27">
        <v>69411177.822156712</v>
      </c>
      <c r="U17" s="27">
        <v>69430151.481043428</v>
      </c>
      <c r="V17" s="27">
        <v>69581821.515779674</v>
      </c>
      <c r="W17" s="27">
        <v>69634223.41154927</v>
      </c>
      <c r="X17" s="27">
        <v>69723616.620319203</v>
      </c>
      <c r="Y17" s="27">
        <v>69773127.259538129</v>
      </c>
      <c r="Z17" s="27">
        <v>69874053.072855517</v>
      </c>
      <c r="AA17" s="27">
        <v>70033302.360471338</v>
      </c>
      <c r="AB17" s="27">
        <v>70247248.599918365</v>
      </c>
      <c r="AC17" s="27">
        <v>70575476.728522956</v>
      </c>
      <c r="AD17" s="27">
        <v>70762124.898612201</v>
      </c>
      <c r="AE17" s="27">
        <v>71635172.095565557</v>
      </c>
      <c r="AF17" s="27">
        <v>71688832.926124871</v>
      </c>
      <c r="AG17" s="27">
        <v>71748693.915196642</v>
      </c>
      <c r="AH17" s="27">
        <v>72058184.88636975</v>
      </c>
      <c r="AI17" s="15">
        <v>69243020</v>
      </c>
      <c r="AJ17" s="30">
        <f t="shared" si="0"/>
        <v>72058184.88636975</v>
      </c>
      <c r="AK17" s="30">
        <f t="shared" si="1"/>
        <v>2815164.8863697499</v>
      </c>
    </row>
    <row r="18" spans="1:37" ht="15" x14ac:dyDescent="0.35">
      <c r="A18" s="5">
        <v>2009</v>
      </c>
      <c r="B18" s="7">
        <v>9998209.020833334</v>
      </c>
      <c r="C18" s="7">
        <v>38410120.358333297</v>
      </c>
      <c r="D18" s="7">
        <v>59933367.9416667</v>
      </c>
      <c r="E18" s="7">
        <v>73220790.720833406</v>
      </c>
      <c r="F18" s="7">
        <v>80634376.429166704</v>
      </c>
      <c r="G18" s="7">
        <v>82350175.049999997</v>
      </c>
      <c r="H18" s="7">
        <v>83892584.487499997</v>
      </c>
      <c r="I18" s="7">
        <v>85289823.0708334</v>
      </c>
      <c r="J18" s="7">
        <v>86101993.1875</v>
      </c>
      <c r="K18" s="7">
        <v>87117985.445833296</v>
      </c>
      <c r="L18" s="7">
        <v>87322858.6333334</v>
      </c>
      <c r="M18" s="7">
        <v>87475268.891666695</v>
      </c>
      <c r="N18" s="7">
        <v>88179337.841666698</v>
      </c>
      <c r="O18" s="7">
        <v>88912903.716666698</v>
      </c>
      <c r="P18" s="7">
        <v>89065202.1875</v>
      </c>
      <c r="Q18" s="8">
        <v>89516484.079166695</v>
      </c>
      <c r="R18" s="27">
        <v>89670356.687822849</v>
      </c>
      <c r="S18" s="27">
        <v>89763552.369554073</v>
      </c>
      <c r="T18" s="27">
        <v>89840982.442449793</v>
      </c>
      <c r="U18" s="27">
        <v>89860234.564201012</v>
      </c>
      <c r="V18" s="27">
        <v>90014130.551906243</v>
      </c>
      <c r="W18" s="27">
        <v>90067301.512940913</v>
      </c>
      <c r="X18" s="27">
        <v>90158006.682104424</v>
      </c>
      <c r="Y18" s="27">
        <v>90208243.953677312</v>
      </c>
      <c r="Z18" s="27">
        <v>90310650.983203247</v>
      </c>
      <c r="AA18" s="27">
        <v>90472237.459079042</v>
      </c>
      <c r="AB18" s="27">
        <v>90689323.634952724</v>
      </c>
      <c r="AC18" s="27">
        <v>91022368.933795586</v>
      </c>
      <c r="AD18" s="27">
        <v>91211756.406009257</v>
      </c>
      <c r="AE18" s="27">
        <v>92097616.69424659</v>
      </c>
      <c r="AF18" s="27">
        <v>92152065.066559345</v>
      </c>
      <c r="AG18" s="27">
        <v>92212804.592690736</v>
      </c>
      <c r="AH18" s="27">
        <v>92526494.53386572</v>
      </c>
      <c r="AI18" s="15">
        <v>89516484.079166695</v>
      </c>
      <c r="AJ18" s="30">
        <f t="shared" si="0"/>
        <v>92526494.53386572</v>
      </c>
      <c r="AK18" s="30">
        <f t="shared" si="1"/>
        <v>3010010.4546990246</v>
      </c>
    </row>
    <row r="19" spans="1:37" ht="15" x14ac:dyDescent="0.35">
      <c r="A19" s="5">
        <v>2010</v>
      </c>
      <c r="B19" s="7">
        <v>9194446.9375</v>
      </c>
      <c r="C19" s="7">
        <v>35466950.583333299</v>
      </c>
      <c r="D19" s="7">
        <v>60055288.395833299</v>
      </c>
      <c r="E19" s="7">
        <v>77176217.766666695</v>
      </c>
      <c r="F19" s="7">
        <v>81335916.991666704</v>
      </c>
      <c r="G19" s="7">
        <v>83839373.295833305</v>
      </c>
      <c r="H19" s="7">
        <v>86091169.666666701</v>
      </c>
      <c r="I19" s="7">
        <v>88553372.520833299</v>
      </c>
      <c r="J19" s="7">
        <v>88769034.875</v>
      </c>
      <c r="K19" s="7">
        <v>89586671.404166698</v>
      </c>
      <c r="L19" s="7">
        <v>90482502.049999997</v>
      </c>
      <c r="M19" s="7">
        <v>90826921.545833305</v>
      </c>
      <c r="N19" s="7">
        <v>91494715.758333296</v>
      </c>
      <c r="O19" s="7">
        <v>91742729.9375</v>
      </c>
      <c r="P19" s="8">
        <v>92073613.849999994</v>
      </c>
      <c r="Q19" s="27">
        <v>92309676.123051047</v>
      </c>
      <c r="R19" s="27">
        <v>92465807.010283306</v>
      </c>
      <c r="S19" s="27">
        <v>92560370.458592862</v>
      </c>
      <c r="T19" s="27">
        <v>92638936.917465881</v>
      </c>
      <c r="U19" s="27">
        <v>92658471.588882536</v>
      </c>
      <c r="V19" s="27">
        <v>92814626.198281512</v>
      </c>
      <c r="W19" s="27">
        <v>92868577.511603862</v>
      </c>
      <c r="X19" s="27">
        <v>92960613.895868316</v>
      </c>
      <c r="Y19" s="27">
        <v>93011588.464060187</v>
      </c>
      <c r="Z19" s="27">
        <v>93115498.448548928</v>
      </c>
      <c r="AA19" s="27">
        <v>93279456.413930535</v>
      </c>
      <c r="AB19" s="27">
        <v>93499728.608839229</v>
      </c>
      <c r="AC19" s="27">
        <v>93837661.776093632</v>
      </c>
      <c r="AD19" s="27">
        <v>94029828.753216073</v>
      </c>
      <c r="AE19" s="27">
        <v>94928690.181343243</v>
      </c>
      <c r="AF19" s="27">
        <v>94983937.653598294</v>
      </c>
      <c r="AG19" s="27">
        <v>95045568.6104514</v>
      </c>
      <c r="AH19" s="27">
        <v>95363335.825284392</v>
      </c>
      <c r="AI19" s="15">
        <v>92073613.849999994</v>
      </c>
      <c r="AJ19" s="30">
        <f t="shared" si="0"/>
        <v>95363335.825284392</v>
      </c>
      <c r="AK19" s="30">
        <f t="shared" si="1"/>
        <v>3289721.9752843976</v>
      </c>
    </row>
    <row r="20" spans="1:37" ht="15" x14ac:dyDescent="0.35">
      <c r="A20" s="5">
        <v>2011</v>
      </c>
      <c r="B20" s="7">
        <v>10541903.025</v>
      </c>
      <c r="C20" s="7">
        <v>38254776.295833401</v>
      </c>
      <c r="D20" s="7">
        <v>59941538.9500001</v>
      </c>
      <c r="E20" s="7">
        <v>66223453.666666701</v>
      </c>
      <c r="F20" s="7">
        <v>70226754.704166695</v>
      </c>
      <c r="G20" s="7">
        <v>73878794.6958334</v>
      </c>
      <c r="H20" s="7">
        <v>77139407.583333403</v>
      </c>
      <c r="I20" s="7">
        <v>79420852.333333403</v>
      </c>
      <c r="J20" s="7">
        <v>80204648.487500101</v>
      </c>
      <c r="K20" s="7">
        <v>80554305.404166698</v>
      </c>
      <c r="L20" s="7">
        <v>80861186.754166707</v>
      </c>
      <c r="M20" s="7">
        <v>81282072.041666701</v>
      </c>
      <c r="N20" s="7">
        <v>82008445.775000095</v>
      </c>
      <c r="O20" s="8">
        <v>82475428.545833394</v>
      </c>
      <c r="P20" s="27">
        <v>82597732.111197099</v>
      </c>
      <c r="Q20" s="27">
        <v>82837258.901932716</v>
      </c>
      <c r="R20" s="27">
        <v>82995681.210885748</v>
      </c>
      <c r="S20" s="27">
        <v>83091632.499508575</v>
      </c>
      <c r="T20" s="27">
        <v>83171352.022285715</v>
      </c>
      <c r="U20" s="27">
        <v>83191173.390147805</v>
      </c>
      <c r="V20" s="27">
        <v>83349619.769420877</v>
      </c>
      <c r="W20" s="27">
        <v>83404362.887705088</v>
      </c>
      <c r="X20" s="27">
        <v>83497750.024365455</v>
      </c>
      <c r="Y20" s="27">
        <v>83549472.709953129</v>
      </c>
      <c r="Z20" s="27">
        <v>83654907.70720318</v>
      </c>
      <c r="AA20" s="27">
        <v>83821271.966751352</v>
      </c>
      <c r="AB20" s="27">
        <v>84044776.93962501</v>
      </c>
      <c r="AC20" s="27">
        <v>84387669.711050898</v>
      </c>
      <c r="AD20" s="27">
        <v>84582656.985894039</v>
      </c>
      <c r="AE20" s="27">
        <v>85494710.362372249</v>
      </c>
      <c r="AF20" s="27">
        <v>85550768.66238974</v>
      </c>
      <c r="AG20" s="27">
        <v>85613304.132857725</v>
      </c>
      <c r="AH20" s="27">
        <v>85935462.196044415</v>
      </c>
      <c r="AI20" s="15">
        <v>82475428.545833394</v>
      </c>
      <c r="AJ20" s="30">
        <f t="shared" si="0"/>
        <v>85935462.196044415</v>
      </c>
      <c r="AK20" s="30">
        <f t="shared" si="1"/>
        <v>3460033.6502110213</v>
      </c>
    </row>
    <row r="21" spans="1:37" ht="15" x14ac:dyDescent="0.35">
      <c r="A21" s="5">
        <v>2012</v>
      </c>
      <c r="B21" s="7">
        <v>9955042.0458333362</v>
      </c>
      <c r="C21" s="7">
        <v>34277823.533333398</v>
      </c>
      <c r="D21" s="7">
        <v>46656444.3833334</v>
      </c>
      <c r="E21" s="7">
        <v>76363693.618100002</v>
      </c>
      <c r="F21" s="7">
        <v>86796043.555600002</v>
      </c>
      <c r="G21" s="7">
        <v>91707825.722266704</v>
      </c>
      <c r="H21" s="7">
        <v>93491675.613933399</v>
      </c>
      <c r="I21" s="7">
        <v>94455330.138933405</v>
      </c>
      <c r="J21" s="7">
        <v>95281567.180600002</v>
      </c>
      <c r="K21" s="7">
        <v>95331792.743100002</v>
      </c>
      <c r="L21" s="7">
        <v>95615019.972266704</v>
      </c>
      <c r="M21" s="7">
        <v>97790025.343099996</v>
      </c>
      <c r="N21" s="8">
        <v>98147822.759766698</v>
      </c>
      <c r="O21" s="27">
        <v>98561232.532063887</v>
      </c>
      <c r="P21" s="27">
        <v>98685331.05966197</v>
      </c>
      <c r="Q21" s="27">
        <v>98928373.214338243</v>
      </c>
      <c r="R21" s="27">
        <v>99089120.574574992</v>
      </c>
      <c r="S21" s="27">
        <v>99186480.071853921</v>
      </c>
      <c r="T21" s="27">
        <v>99267369.581232041</v>
      </c>
      <c r="U21" s="27">
        <v>99287481.853178903</v>
      </c>
      <c r="V21" s="27">
        <v>99448253.636998624</v>
      </c>
      <c r="W21" s="27">
        <v>99503800.181001619</v>
      </c>
      <c r="X21" s="27">
        <v>99598557.894087806</v>
      </c>
      <c r="Y21" s="27">
        <v>99651039.676656947</v>
      </c>
      <c r="Z21" s="27">
        <v>99758022.068193361</v>
      </c>
      <c r="AA21" s="27">
        <v>99926827.937372059</v>
      </c>
      <c r="AB21" s="27">
        <v>100153613.13338812</v>
      </c>
      <c r="AC21" s="27">
        <v>100501538.29756004</v>
      </c>
      <c r="AD21" s="27">
        <v>100699387.26162285</v>
      </c>
      <c r="AE21" s="27">
        <v>101624826.19527306</v>
      </c>
      <c r="AF21" s="27">
        <v>101681707.222994</v>
      </c>
      <c r="AG21" s="27">
        <v>101745160.48197833</v>
      </c>
      <c r="AH21" s="27">
        <v>102071124.53102328</v>
      </c>
      <c r="AI21" s="15">
        <v>98147822.759766698</v>
      </c>
      <c r="AJ21" s="30">
        <f t="shared" si="0"/>
        <v>102071124.53102328</v>
      </c>
      <c r="AK21" s="30">
        <f t="shared" si="1"/>
        <v>3923301.7712565809</v>
      </c>
    </row>
    <row r="22" spans="1:37" ht="15" x14ac:dyDescent="0.35">
      <c r="A22" s="5">
        <v>2013</v>
      </c>
      <c r="B22" s="7">
        <v>8945263.9208333362</v>
      </c>
      <c r="C22" s="7">
        <v>26142373.325000003</v>
      </c>
      <c r="D22" s="7">
        <v>53428333.495833308</v>
      </c>
      <c r="E22" s="7">
        <v>66180624.741666704</v>
      </c>
      <c r="F22" s="7">
        <v>73670148.120833308</v>
      </c>
      <c r="G22" s="7">
        <v>78085975.775000021</v>
      </c>
      <c r="H22" s="7">
        <v>81061194.012500018</v>
      </c>
      <c r="I22" s="7">
        <v>81845705.204166621</v>
      </c>
      <c r="J22" s="7">
        <v>83202099.629166722</v>
      </c>
      <c r="K22" s="7">
        <v>84874357.300000012</v>
      </c>
      <c r="L22" s="7">
        <v>85772635.533333316</v>
      </c>
      <c r="M22" s="8">
        <v>86976453.687500015</v>
      </c>
      <c r="N22" s="27">
        <v>87550806.667615369</v>
      </c>
      <c r="O22" s="27">
        <v>87970283.760406345</v>
      </c>
      <c r="P22" s="27">
        <v>88096203.593619823</v>
      </c>
      <c r="Q22" s="27">
        <v>88342812.704727069</v>
      </c>
      <c r="R22" s="27">
        <v>88505919.239367634</v>
      </c>
      <c r="S22" s="27">
        <v>88604707.612577155</v>
      </c>
      <c r="T22" s="27">
        <v>88686784.279615477</v>
      </c>
      <c r="U22" s="27">
        <v>88707191.725038961</v>
      </c>
      <c r="V22" s="27">
        <v>88870323.041710004</v>
      </c>
      <c r="W22" s="27">
        <v>88926684.802738264</v>
      </c>
      <c r="X22" s="27">
        <v>89022833.207223356</v>
      </c>
      <c r="Y22" s="27">
        <v>89076085.227499187</v>
      </c>
      <c r="Z22" s="27">
        <v>89184637.723324701</v>
      </c>
      <c r="AA22" s="27">
        <v>89355921.035897762</v>
      </c>
      <c r="AB22" s="27">
        <v>89586034.596552685</v>
      </c>
      <c r="AC22" s="27">
        <v>89939066.010311201</v>
      </c>
      <c r="AD22" s="27">
        <v>90139818.662566155</v>
      </c>
      <c r="AE22" s="27">
        <v>91078839.603667945</v>
      </c>
      <c r="AF22" s="27">
        <v>91136555.433680281</v>
      </c>
      <c r="AG22" s="27">
        <v>91200939.950908691</v>
      </c>
      <c r="AH22" s="27">
        <v>91530406.864454016</v>
      </c>
      <c r="AI22" s="15">
        <v>86976453.6875</v>
      </c>
      <c r="AJ22" s="30">
        <f t="shared" si="0"/>
        <v>91530406.864454016</v>
      </c>
      <c r="AK22" s="30">
        <f t="shared" si="1"/>
        <v>4553953.1769540161</v>
      </c>
    </row>
    <row r="23" spans="1:37" ht="15" x14ac:dyDescent="0.35">
      <c r="A23" s="5">
        <v>2014</v>
      </c>
      <c r="B23" s="7">
        <v>9053483.0916666687</v>
      </c>
      <c r="C23" s="7">
        <v>33847889.766666703</v>
      </c>
      <c r="D23" s="7">
        <v>58064487.225000001</v>
      </c>
      <c r="E23" s="7">
        <v>72567235.137500003</v>
      </c>
      <c r="F23" s="7">
        <v>79713176.933333293</v>
      </c>
      <c r="G23" s="7">
        <v>83995819.8125</v>
      </c>
      <c r="H23" s="7">
        <v>85389624.487499997</v>
      </c>
      <c r="I23" s="7">
        <v>86055760.020833299</v>
      </c>
      <c r="J23" s="7">
        <v>87136282.287499994</v>
      </c>
      <c r="K23" s="7">
        <v>88814380.737499997</v>
      </c>
      <c r="L23" s="8">
        <v>89663189.479166701</v>
      </c>
      <c r="M23" s="27">
        <v>90404552.931226924</v>
      </c>
      <c r="N23" s="27">
        <v>90987335.280555218</v>
      </c>
      <c r="O23" s="27">
        <v>91412968.739577278</v>
      </c>
      <c r="P23" s="27">
        <v>91540736.608410209</v>
      </c>
      <c r="Q23" s="27">
        <v>91790965.025624961</v>
      </c>
      <c r="R23" s="27">
        <v>91956465.358590126</v>
      </c>
      <c r="S23" s="27">
        <v>92056703.578323573</v>
      </c>
      <c r="T23" s="27">
        <v>92139984.826088697</v>
      </c>
      <c r="U23" s="27">
        <v>92160691.777039483</v>
      </c>
      <c r="V23" s="27">
        <v>92326217.255743325</v>
      </c>
      <c r="W23" s="27">
        <v>92383406.19815594</v>
      </c>
      <c r="X23" s="27">
        <v>92480965.704226106</v>
      </c>
      <c r="Y23" s="27">
        <v>92534999.266438305</v>
      </c>
      <c r="Z23" s="27">
        <v>92645144.909854203</v>
      </c>
      <c r="AA23" s="27">
        <v>92818942.025492072</v>
      </c>
      <c r="AB23" s="27">
        <v>93052432.798820764</v>
      </c>
      <c r="AC23" s="27">
        <v>93410645.402950644</v>
      </c>
      <c r="AD23" s="27">
        <v>93614344.358759195</v>
      </c>
      <c r="AE23" s="27">
        <v>94567146.640752837</v>
      </c>
      <c r="AF23" s="27">
        <v>94625709.524854645</v>
      </c>
      <c r="AG23" s="27">
        <v>94691038.967740446</v>
      </c>
      <c r="AH23" s="27">
        <v>95023687.642877609</v>
      </c>
      <c r="AI23" s="15">
        <v>89663189.479166701</v>
      </c>
      <c r="AJ23" s="30">
        <f t="shared" si="0"/>
        <v>95023687.642877609</v>
      </c>
      <c r="AK23" s="30">
        <f t="shared" si="1"/>
        <v>5360498.1637109071</v>
      </c>
    </row>
    <row r="24" spans="1:37" ht="15" x14ac:dyDescent="0.35">
      <c r="A24" s="5">
        <v>2015</v>
      </c>
      <c r="B24" s="7">
        <v>11511440.029166674</v>
      </c>
      <c r="C24" s="7">
        <v>36584205.529166698</v>
      </c>
      <c r="D24" s="7">
        <v>56963409.5</v>
      </c>
      <c r="E24" s="7">
        <v>69269661.654166698</v>
      </c>
      <c r="F24" s="7">
        <v>75656728.416666701</v>
      </c>
      <c r="G24" s="7">
        <v>79250545.487499997</v>
      </c>
      <c r="H24" s="7">
        <v>84022407.379166707</v>
      </c>
      <c r="I24" s="7">
        <v>86938147.404166698</v>
      </c>
      <c r="J24" s="7">
        <v>88814147.950000003</v>
      </c>
      <c r="K24" s="8">
        <v>89493517.462500006</v>
      </c>
      <c r="L24" s="27">
        <v>90349870.690391153</v>
      </c>
      <c r="M24" s="27">
        <v>91102114.605293468</v>
      </c>
      <c r="N24" s="27">
        <v>91693450.035677046</v>
      </c>
      <c r="O24" s="27">
        <v>92125330.213528275</v>
      </c>
      <c r="P24" s="27">
        <v>92254973.24028191</v>
      </c>
      <c r="Q24" s="27">
        <v>92508874.081579581</v>
      </c>
      <c r="R24" s="27">
        <v>92676803.344940722</v>
      </c>
      <c r="S24" s="27">
        <v>92778512.689561874</v>
      </c>
      <c r="T24" s="27">
        <v>92863016.196826354</v>
      </c>
      <c r="U24" s="27">
        <v>92884027.048933536</v>
      </c>
      <c r="V24" s="27">
        <v>93051981.827079445</v>
      </c>
      <c r="W24" s="27">
        <v>93110010.090827867</v>
      </c>
      <c r="X24" s="27">
        <v>93209001.408215061</v>
      </c>
      <c r="Y24" s="27">
        <v>93263827.982497439</v>
      </c>
      <c r="Z24" s="27">
        <v>93375590.154995099</v>
      </c>
      <c r="AA24" s="27">
        <v>93551937.966993168</v>
      </c>
      <c r="AB24" s="27">
        <v>93788855.517938316</v>
      </c>
      <c r="AC24" s="27">
        <v>94152325.353076786</v>
      </c>
      <c r="AD24" s="27">
        <v>94359013.853235662</v>
      </c>
      <c r="AE24" s="27">
        <v>95325799.735036239</v>
      </c>
      <c r="AF24" s="27">
        <v>95385222.104836494</v>
      </c>
      <c r="AG24" s="27">
        <v>95451510.341379896</v>
      </c>
      <c r="AH24" s="27">
        <v>95787130.993237078</v>
      </c>
      <c r="AI24" s="15">
        <v>89493517.462500006</v>
      </c>
      <c r="AJ24" s="30">
        <f t="shared" si="0"/>
        <v>95787130.993237078</v>
      </c>
      <c r="AK24" s="30">
        <f t="shared" si="1"/>
        <v>6293613.5307370722</v>
      </c>
    </row>
    <row r="25" spans="1:37" ht="15" x14ac:dyDescent="0.35">
      <c r="A25" s="5">
        <v>2016</v>
      </c>
      <c r="B25" s="7">
        <v>13027666.350000011</v>
      </c>
      <c r="C25" s="7">
        <v>42337468.845833398</v>
      </c>
      <c r="D25" s="7">
        <v>61715751.3083333</v>
      </c>
      <c r="E25" s="7">
        <v>72327364.708333299</v>
      </c>
      <c r="F25" s="7">
        <v>76879238.950000003</v>
      </c>
      <c r="G25" s="7">
        <v>80787273.450000003</v>
      </c>
      <c r="H25" s="7">
        <v>87726213.762500003</v>
      </c>
      <c r="I25" s="7">
        <v>90575724.837500006</v>
      </c>
      <c r="J25" s="8">
        <v>92303198.470833302</v>
      </c>
      <c r="K25" s="27">
        <v>93505633.76676169</v>
      </c>
      <c r="L25" s="27">
        <v>94374555.080454588</v>
      </c>
      <c r="M25" s="27">
        <v>95137839.142995059</v>
      </c>
      <c r="N25" s="27">
        <v>95737853.181906775</v>
      </c>
      <c r="O25" s="27">
        <v>96176071.757225931</v>
      </c>
      <c r="P25" s="27">
        <v>96307617.462256193</v>
      </c>
      <c r="Q25" s="27">
        <v>96565244.625186846</v>
      </c>
      <c r="R25" s="27">
        <v>96735638.466623724</v>
      </c>
      <c r="S25" s="27">
        <v>96838840.526783749</v>
      </c>
      <c r="T25" s="27">
        <v>96924584.23177886</v>
      </c>
      <c r="U25" s="27">
        <v>96945903.445183054</v>
      </c>
      <c r="V25" s="27">
        <v>97116323.175867006</v>
      </c>
      <c r="W25" s="27">
        <v>97175203.079072088</v>
      </c>
      <c r="X25" s="27">
        <v>97275647.221450225</v>
      </c>
      <c r="Y25" s="27">
        <v>97331278.446275577</v>
      </c>
      <c r="Z25" s="27">
        <v>97444680.872499838</v>
      </c>
      <c r="AA25" s="27">
        <v>97623616.815610111</v>
      </c>
      <c r="AB25" s="27">
        <v>97864011.436543718</v>
      </c>
      <c r="AC25" s="27">
        <v>98232815.659322232</v>
      </c>
      <c r="AD25" s="27">
        <v>98442537.579242513</v>
      </c>
      <c r="AE25" s="27">
        <v>99423512.288174987</v>
      </c>
      <c r="AF25" s="27">
        <v>99483806.757732525</v>
      </c>
      <c r="AG25" s="27">
        <v>99551067.859464481</v>
      </c>
      <c r="AH25" s="27">
        <v>99888932.179735005</v>
      </c>
      <c r="AI25" s="15">
        <v>92303198.470833302</v>
      </c>
      <c r="AJ25" s="30">
        <f t="shared" si="0"/>
        <v>99888932.179735005</v>
      </c>
      <c r="AK25" s="30">
        <f t="shared" si="1"/>
        <v>7585733.7089017034</v>
      </c>
    </row>
    <row r="26" spans="1:37" ht="15" x14ac:dyDescent="0.35">
      <c r="A26" s="5">
        <v>2017</v>
      </c>
      <c r="B26" s="7">
        <v>16518055.287500009</v>
      </c>
      <c r="C26" s="7">
        <v>46698463.145833299</v>
      </c>
      <c r="D26" s="7">
        <v>63996394.354166701</v>
      </c>
      <c r="E26" s="7">
        <v>72192139.429166704</v>
      </c>
      <c r="F26" s="7">
        <v>78436369.875</v>
      </c>
      <c r="G26" s="7">
        <v>84751998.666666701</v>
      </c>
      <c r="H26" s="7">
        <v>87381817.162499994</v>
      </c>
      <c r="I26" s="8">
        <v>90248684.308333397</v>
      </c>
      <c r="J26" s="27">
        <v>91742696.237040535</v>
      </c>
      <c r="K26" s="27">
        <v>92962778.81854932</v>
      </c>
      <c r="L26" s="27">
        <v>93844452.670879066</v>
      </c>
      <c r="M26" s="27">
        <v>94618938.909433693</v>
      </c>
      <c r="N26" s="27">
        <v>95227758.926623642</v>
      </c>
      <c r="O26" s="27">
        <v>95672408.923551485</v>
      </c>
      <c r="P26" s="27">
        <v>95805885.231110975</v>
      </c>
      <c r="Q26" s="27">
        <v>96067293.404240593</v>
      </c>
      <c r="R26" s="27">
        <v>96240187.994608551</v>
      </c>
      <c r="S26" s="27">
        <v>96344904.677829221</v>
      </c>
      <c r="T26" s="27">
        <v>96431906.782052875</v>
      </c>
      <c r="U26" s="27">
        <v>96453538.882352993</v>
      </c>
      <c r="V26" s="27">
        <v>96626459.741926029</v>
      </c>
      <c r="W26" s="27">
        <v>96686203.783492923</v>
      </c>
      <c r="X26" s="27">
        <v>96788122.072938621</v>
      </c>
      <c r="Y26" s="27">
        <v>96844569.757589296</v>
      </c>
      <c r="Z26" s="27">
        <v>96959636.510374725</v>
      </c>
      <c r="AA26" s="27">
        <v>97141198.568752378</v>
      </c>
      <c r="AB26" s="27">
        <v>97385121.290151745</v>
      </c>
      <c r="AC26" s="27">
        <v>97759338.189574614</v>
      </c>
      <c r="AD26" s="27">
        <v>97972138.048595518</v>
      </c>
      <c r="AE26" s="27">
        <v>98967509.823960006</v>
      </c>
      <c r="AF26" s="27">
        <v>99028689.192461208</v>
      </c>
      <c r="AG26" s="27">
        <v>99096937.437430516</v>
      </c>
      <c r="AH26" s="27">
        <v>99436428.001718789</v>
      </c>
      <c r="AI26" s="15">
        <v>90248684.308333397</v>
      </c>
      <c r="AJ26" s="30">
        <f t="shared" si="0"/>
        <v>99436428.001718789</v>
      </c>
      <c r="AK26" s="30">
        <f t="shared" si="1"/>
        <v>9187743.6933853924</v>
      </c>
    </row>
    <row r="27" spans="1:37" ht="15" x14ac:dyDescent="0.35">
      <c r="A27" s="5">
        <v>2018</v>
      </c>
      <c r="B27" s="7">
        <v>16902139.808333337</v>
      </c>
      <c r="C27" s="7">
        <v>52601190.433333397</v>
      </c>
      <c r="D27" s="7">
        <v>68619601.058333397</v>
      </c>
      <c r="E27" s="7">
        <v>81872128.495833397</v>
      </c>
      <c r="F27" s="7">
        <v>90434704.3833334</v>
      </c>
      <c r="G27" s="7">
        <v>95228604.066666707</v>
      </c>
      <c r="H27" s="8">
        <v>98581640.466666698</v>
      </c>
      <c r="I27" s="27">
        <v>100748536.12936443</v>
      </c>
      <c r="J27" s="27">
        <v>102264474.60601613</v>
      </c>
      <c r="K27" s="27">
        <v>103502463.4697344</v>
      </c>
      <c r="L27" s="27">
        <v>104397077.02061883</v>
      </c>
      <c r="M27" s="27">
        <v>105182929.84153853</v>
      </c>
      <c r="N27" s="27">
        <v>105800685.0760718</v>
      </c>
      <c r="O27" s="27">
        <v>106251860.88399811</v>
      </c>
      <c r="P27" s="27">
        <v>106387296.12816374</v>
      </c>
      <c r="Q27" s="27">
        <v>106652540.80268341</v>
      </c>
      <c r="R27" s="27">
        <v>106827972.84369163</v>
      </c>
      <c r="S27" s="27">
        <v>106934226.37901576</v>
      </c>
      <c r="T27" s="27">
        <v>107022505.35109627</v>
      </c>
      <c r="U27" s="27">
        <v>107044454.93031022</v>
      </c>
      <c r="V27" s="27">
        <v>107219913.62605792</v>
      </c>
      <c r="W27" s="27">
        <v>107280534.48832929</v>
      </c>
      <c r="X27" s="27">
        <v>107383948.55984809</v>
      </c>
      <c r="Y27" s="27">
        <v>107441224.68692286</v>
      </c>
      <c r="Z27" s="27">
        <v>107557980.19240382</v>
      </c>
      <c r="AA27" s="27">
        <v>107742206.90767038</v>
      </c>
      <c r="AB27" s="27">
        <v>107989709.50895073</v>
      </c>
      <c r="AC27" s="27">
        <v>108369418.52301417</v>
      </c>
      <c r="AD27" s="27">
        <v>108585341.49385351</v>
      </c>
      <c r="AE27" s="27">
        <v>109595321.63112986</v>
      </c>
      <c r="AF27" s="27">
        <v>109657398.88560566</v>
      </c>
      <c r="AG27" s="27">
        <v>109726648.76140983</v>
      </c>
      <c r="AH27" s="27">
        <v>110066288.58953039</v>
      </c>
      <c r="AI27" s="15">
        <v>98581640.466666698</v>
      </c>
      <c r="AJ27" s="30">
        <f t="shared" si="0"/>
        <v>110066288.58953039</v>
      </c>
      <c r="AK27" s="30">
        <f t="shared" si="1"/>
        <v>11484648.122863695</v>
      </c>
    </row>
    <row r="28" spans="1:37" ht="15" x14ac:dyDescent="0.35">
      <c r="A28" s="5">
        <v>2019</v>
      </c>
      <c r="B28" s="7">
        <v>17923705.070833333</v>
      </c>
      <c r="C28" s="7">
        <v>46221759.975000001</v>
      </c>
      <c r="D28" s="7">
        <v>69053882.416666701</v>
      </c>
      <c r="E28" s="7">
        <v>85072134.537499994</v>
      </c>
      <c r="F28" s="7">
        <v>98606300.650000006</v>
      </c>
      <c r="G28" s="8">
        <v>104453212.94166701</v>
      </c>
      <c r="H28" s="27">
        <v>107774239.24153528</v>
      </c>
      <c r="I28" s="27">
        <v>109972936.88701913</v>
      </c>
      <c r="J28" s="27">
        <v>111511123.71192738</v>
      </c>
      <c r="K28" s="27">
        <v>112767281.65559313</v>
      </c>
      <c r="L28" s="27">
        <v>113675024.81176277</v>
      </c>
      <c r="M28" s="27">
        <v>114472411.03427331</v>
      </c>
      <c r="N28" s="27">
        <v>115099232.62196463</v>
      </c>
      <c r="O28" s="27">
        <v>115557030.01556495</v>
      </c>
      <c r="P28" s="27">
        <v>115694452.9462527</v>
      </c>
      <c r="Q28" s="27">
        <v>115963590.42775814</v>
      </c>
      <c r="R28" s="27">
        <v>116141597.15976064</v>
      </c>
      <c r="S28" s="27">
        <v>116249410.10247087</v>
      </c>
      <c r="T28" s="27">
        <v>116338984.68208747</v>
      </c>
      <c r="U28" s="27">
        <v>116361256.39962693</v>
      </c>
      <c r="V28" s="27">
        <v>116539290.17756151</v>
      </c>
      <c r="W28" s="27">
        <v>116600800.72900972</v>
      </c>
      <c r="X28" s="27">
        <v>116705732.53512871</v>
      </c>
      <c r="Y28" s="27">
        <v>116763849.26308642</v>
      </c>
      <c r="Z28" s="27">
        <v>116882318.30588228</v>
      </c>
      <c r="AA28" s="27">
        <v>117069248.78530715</v>
      </c>
      <c r="AB28" s="27">
        <v>117320383.80581328</v>
      </c>
      <c r="AC28" s="27">
        <v>117705665.53836837</v>
      </c>
      <c r="AD28" s="27">
        <v>117924757.45671172</v>
      </c>
      <c r="AE28" s="27">
        <v>118949560.35241291</v>
      </c>
      <c r="AF28" s="27">
        <v>119012548.67049561</v>
      </c>
      <c r="AG28" s="27">
        <v>119082814.87735632</v>
      </c>
      <c r="AH28" s="27">
        <v>119420031.9054525</v>
      </c>
      <c r="AI28" s="15">
        <v>104453212.94166701</v>
      </c>
      <c r="AJ28" s="30">
        <f t="shared" si="0"/>
        <v>119420031.9054525</v>
      </c>
      <c r="AK28" s="30">
        <f t="shared" si="1"/>
        <v>14966818.963785499</v>
      </c>
    </row>
    <row r="29" spans="1:37" ht="15" x14ac:dyDescent="0.35">
      <c r="A29" s="5">
        <v>2020</v>
      </c>
      <c r="B29" s="7">
        <v>12157089.591666671</v>
      </c>
      <c r="C29" s="7">
        <v>38029108.404166698</v>
      </c>
      <c r="D29" s="7">
        <v>55750073.479166701</v>
      </c>
      <c r="E29" s="7">
        <v>66589406.945833303</v>
      </c>
      <c r="F29" s="8">
        <v>74790715.6875</v>
      </c>
      <c r="G29" s="27">
        <v>79761505.563642532</v>
      </c>
      <c r="H29" s="27">
        <v>83131272.1988388</v>
      </c>
      <c r="I29" s="27">
        <v>85362238.56213738</v>
      </c>
      <c r="J29" s="27">
        <v>86923000.258447915</v>
      </c>
      <c r="K29" s="27">
        <v>88197593.936694145</v>
      </c>
      <c r="L29" s="27">
        <v>89118659.39200522</v>
      </c>
      <c r="M29" s="27">
        <v>89927748.283619165</v>
      </c>
      <c r="N29" s="27">
        <v>90563769.284870118</v>
      </c>
      <c r="O29" s="27">
        <v>91028285.44443661</v>
      </c>
      <c r="P29" s="27">
        <v>91167725.233504489</v>
      </c>
      <c r="Q29" s="27">
        <v>91440812.653948516</v>
      </c>
      <c r="R29" s="27">
        <v>91621431.863849416</v>
      </c>
      <c r="S29" s="27">
        <v>91730827.10025622</v>
      </c>
      <c r="T29" s="27">
        <v>91821716.302117005</v>
      </c>
      <c r="U29" s="27">
        <v>91844314.885776505</v>
      </c>
      <c r="V29" s="27">
        <v>92024961.538543358</v>
      </c>
      <c r="W29" s="27">
        <v>92087374.836502165</v>
      </c>
      <c r="X29" s="27">
        <v>92193846.651930034</v>
      </c>
      <c r="Y29" s="27">
        <v>92252816.317670539</v>
      </c>
      <c r="Z29" s="27">
        <v>92373024.046146795</v>
      </c>
      <c r="AA29" s="27">
        <v>92562697.970948949</v>
      </c>
      <c r="AB29" s="27">
        <v>92817518.721108153</v>
      </c>
      <c r="AC29" s="27">
        <v>93208454.958971217</v>
      </c>
      <c r="AD29" s="27">
        <v>93430762.333201841</v>
      </c>
      <c r="AE29" s="27">
        <v>94470605.530385599</v>
      </c>
      <c r="AF29" s="27">
        <v>94534518.283106238</v>
      </c>
      <c r="AG29" s="27">
        <v>94605815.736989811</v>
      </c>
      <c r="AH29" s="27">
        <v>94936894.658141151</v>
      </c>
      <c r="AI29" s="15">
        <v>74790715.6875</v>
      </c>
      <c r="AJ29" s="30">
        <f t="shared" si="0"/>
        <v>94936894.658141151</v>
      </c>
      <c r="AK29" s="30">
        <f t="shared" si="1"/>
        <v>20146178.970641151</v>
      </c>
    </row>
    <row r="30" spans="1:37" ht="15" x14ac:dyDescent="0.35">
      <c r="A30" s="5">
        <v>2021</v>
      </c>
      <c r="B30" s="7">
        <v>15171797.887499999</v>
      </c>
      <c r="C30" s="7">
        <v>49475416.929166704</v>
      </c>
      <c r="D30" s="7">
        <v>67577878.775000006</v>
      </c>
      <c r="E30" s="8">
        <v>79065031.674999997</v>
      </c>
      <c r="F30" s="27">
        <v>87474154.676383153</v>
      </c>
      <c r="G30" s="27">
        <v>92517897.291688815</v>
      </c>
      <c r="H30" s="27">
        <v>95937119.589366004</v>
      </c>
      <c r="I30" s="27">
        <v>98200828.255445197</v>
      </c>
      <c r="J30" s="27">
        <v>99784496.138451174</v>
      </c>
      <c r="K30" s="27">
        <v>101077796.11941086</v>
      </c>
      <c r="L30" s="27">
        <v>102012379.39574993</v>
      </c>
      <c r="M30" s="27">
        <v>102833342.70819849</v>
      </c>
      <c r="N30" s="27">
        <v>103478698.1362433</v>
      </c>
      <c r="O30" s="27">
        <v>103950031.66831402</v>
      </c>
      <c r="P30" s="27">
        <v>104091517.91575457</v>
      </c>
      <c r="Q30" s="27">
        <v>104368613.24557492</v>
      </c>
      <c r="R30" s="27">
        <v>104551883.27484982</v>
      </c>
      <c r="S30" s="27">
        <v>104662884.02714969</v>
      </c>
      <c r="T30" s="27">
        <v>104755107.14502811</v>
      </c>
      <c r="U30" s="27">
        <v>104778037.39198866</v>
      </c>
      <c r="V30" s="27">
        <v>104961335.26688889</v>
      </c>
      <c r="W30" s="27">
        <v>105024664.56032522</v>
      </c>
      <c r="X30" s="27">
        <v>105132698.98668066</v>
      </c>
      <c r="Y30" s="27">
        <v>105192534.10816371</v>
      </c>
      <c r="Z30" s="27">
        <v>105314506.03977054</v>
      </c>
      <c r="AA30" s="27">
        <v>105506963.67354189</v>
      </c>
      <c r="AB30" s="27">
        <v>105765524.24618061</v>
      </c>
      <c r="AC30" s="27">
        <v>106162197.97649474</v>
      </c>
      <c r="AD30" s="27">
        <v>106387767.99756628</v>
      </c>
      <c r="AE30" s="27">
        <v>107442872.23201472</v>
      </c>
      <c r="AF30" s="27">
        <v>107507722.98664141</v>
      </c>
      <c r="AG30" s="27">
        <v>107580066.8224252</v>
      </c>
      <c r="AH30" s="27">
        <v>107897248.45094219</v>
      </c>
      <c r="AI30" s="15">
        <v>79065031.674999997</v>
      </c>
      <c r="AJ30" s="30">
        <f t="shared" si="0"/>
        <v>107897248.45094219</v>
      </c>
      <c r="AK30" s="30">
        <f t="shared" si="1"/>
        <v>28832216.775942191</v>
      </c>
    </row>
    <row r="31" spans="1:37" ht="15" x14ac:dyDescent="0.35">
      <c r="A31" s="5">
        <v>2022</v>
      </c>
      <c r="B31" s="7">
        <v>20467424.095833328</v>
      </c>
      <c r="C31" s="7">
        <v>62901936.5041667</v>
      </c>
      <c r="D31" s="8">
        <v>88838509.570833296</v>
      </c>
      <c r="E31" s="27">
        <v>104838025.5888495</v>
      </c>
      <c r="F31" s="27">
        <v>113370563.29336765</v>
      </c>
      <c r="G31" s="27">
        <v>118488329.3231786</v>
      </c>
      <c r="H31" s="27">
        <v>121957733.10883628</v>
      </c>
      <c r="I31" s="27">
        <v>124254664.61313087</v>
      </c>
      <c r="J31" s="27">
        <v>125861574.86060381</v>
      </c>
      <c r="K31" s="27">
        <v>127173855.6833455</v>
      </c>
      <c r="L31" s="27">
        <v>128122155.17213446</v>
      </c>
      <c r="M31" s="27">
        <v>128955167.17782652</v>
      </c>
      <c r="N31" s="27">
        <v>129609994.02739242</v>
      </c>
      <c r="O31" s="27">
        <v>130088244.98568328</v>
      </c>
      <c r="P31" s="27">
        <v>130231807.72590704</v>
      </c>
      <c r="Q31" s="27">
        <v>130512969.78633226</v>
      </c>
      <c r="R31" s="27">
        <v>130698929.53916726</v>
      </c>
      <c r="S31" s="27">
        <v>130811559.37037234</v>
      </c>
      <c r="T31" s="27">
        <v>130905135.9812028</v>
      </c>
      <c r="U31" s="27">
        <v>130928402.75905022</v>
      </c>
      <c r="V31" s="27">
        <v>131114390.76618093</v>
      </c>
      <c r="W31" s="27">
        <v>131178649.49850737</v>
      </c>
      <c r="X31" s="27">
        <v>131288269.46911693</v>
      </c>
      <c r="Y31" s="27">
        <v>131348982.74801944</v>
      </c>
      <c r="Z31" s="27">
        <v>131472744.77470843</v>
      </c>
      <c r="AA31" s="27">
        <v>131668026.9719609</v>
      </c>
      <c r="AB31" s="27">
        <v>131930382.25378741</v>
      </c>
      <c r="AC31" s="27">
        <v>132332877.68163887</v>
      </c>
      <c r="AD31" s="27">
        <v>132561758.23309296</v>
      </c>
      <c r="AE31" s="27">
        <v>133632347.48016989</v>
      </c>
      <c r="AF31" s="27">
        <v>133698150.00308789</v>
      </c>
      <c r="AG31" s="27">
        <v>133771555.57777305</v>
      </c>
      <c r="AH31" s="27">
        <v>134057705.80426624</v>
      </c>
      <c r="AI31" s="15">
        <v>88838509.570833296</v>
      </c>
      <c r="AJ31" s="30">
        <f t="shared" si="0"/>
        <v>134057705.80426624</v>
      </c>
      <c r="AK31" s="30">
        <f t="shared" si="1"/>
        <v>45219196.233432949</v>
      </c>
    </row>
    <row r="32" spans="1:37" ht="15" x14ac:dyDescent="0.35">
      <c r="A32" s="5">
        <v>2023</v>
      </c>
      <c r="B32" s="7">
        <v>22938942.387499992</v>
      </c>
      <c r="C32" s="8">
        <v>64614532.979166701</v>
      </c>
      <c r="D32" s="27">
        <v>89804757.976939902</v>
      </c>
      <c r="E32" s="27">
        <v>106039087.48494101</v>
      </c>
      <c r="F32" s="27">
        <v>114696851.16220543</v>
      </c>
      <c r="G32" s="27">
        <v>119889726.99540249</v>
      </c>
      <c r="H32" s="27">
        <v>123410048.74696364</v>
      </c>
      <c r="I32" s="27">
        <v>125740690.67738439</v>
      </c>
      <c r="J32" s="27">
        <v>127371184.40093727</v>
      </c>
      <c r="K32" s="27">
        <v>128702724.63374369</v>
      </c>
      <c r="L32" s="27">
        <v>129664941.63805392</v>
      </c>
      <c r="M32" s="27">
        <v>130510179.16707028</v>
      </c>
      <c r="N32" s="27">
        <v>131174616.44345842</v>
      </c>
      <c r="O32" s="27">
        <v>131659886.35010238</v>
      </c>
      <c r="P32" s="27">
        <v>131805556.05831353</v>
      </c>
      <c r="Q32" s="27">
        <v>132090844.5338494</v>
      </c>
      <c r="R32" s="27">
        <v>132279533.48539957</v>
      </c>
      <c r="S32" s="27">
        <v>132393816.30433953</v>
      </c>
      <c r="T32" s="27">
        <v>132488766.27237312</v>
      </c>
      <c r="U32" s="27">
        <v>132512374.52013132</v>
      </c>
      <c r="V32" s="27">
        <v>132701092.14064537</v>
      </c>
      <c r="W32" s="27">
        <v>132766293.95257388</v>
      </c>
      <c r="X32" s="27">
        <v>132877522.73734018</v>
      </c>
      <c r="Y32" s="27">
        <v>132939127.06175254</v>
      </c>
      <c r="Z32" s="27">
        <v>133064705.45547299</v>
      </c>
      <c r="AA32" s="27">
        <v>133262853.67031106</v>
      </c>
      <c r="AB32" s="27">
        <v>133529059.35356674</v>
      </c>
      <c r="AC32" s="27">
        <v>133937461.91985977</v>
      </c>
      <c r="AD32" s="27">
        <v>134169701.58799064</v>
      </c>
      <c r="AE32" s="27">
        <v>135256003.11018661</v>
      </c>
      <c r="AF32" s="27">
        <v>135322771.36982056</v>
      </c>
      <c r="AG32" s="27">
        <v>135397254.26579198</v>
      </c>
      <c r="AH32" s="27">
        <v>135631418.05800125</v>
      </c>
      <c r="AI32" s="15">
        <v>64614532.979166701</v>
      </c>
      <c r="AJ32" s="30">
        <f t="shared" si="0"/>
        <v>135631418.05800125</v>
      </c>
      <c r="AK32" s="30">
        <f t="shared" si="1"/>
        <v>71016885.078834549</v>
      </c>
    </row>
    <row r="33" spans="1:37" ht="15" x14ac:dyDescent="0.35">
      <c r="A33" s="5">
        <v>2024</v>
      </c>
      <c r="B33" s="8">
        <v>23071016.679166667</v>
      </c>
      <c r="C33" s="27">
        <v>54535590.628010876</v>
      </c>
      <c r="D33" s="27">
        <v>80095514.599088728</v>
      </c>
      <c r="E33" s="27">
        <v>96568103.787260532</v>
      </c>
      <c r="F33" s="27">
        <v>105352931.28959528</v>
      </c>
      <c r="G33" s="27">
        <v>110622019.25921437</v>
      </c>
      <c r="H33" s="27">
        <v>114194006.26336335</v>
      </c>
      <c r="I33" s="27">
        <v>116558853.36380118</v>
      </c>
      <c r="J33" s="27">
        <v>118213276.68129896</v>
      </c>
      <c r="K33" s="27">
        <v>119564358.98080093</v>
      </c>
      <c r="L33" s="27">
        <v>120540697.75808544</v>
      </c>
      <c r="M33" s="27">
        <v>121398340.23571596</v>
      </c>
      <c r="N33" s="27">
        <v>122072528.9843092</v>
      </c>
      <c r="O33" s="27">
        <v>122564920.85140717</v>
      </c>
      <c r="P33" s="27">
        <v>122712728.45007274</v>
      </c>
      <c r="Q33" s="27">
        <v>123002203.90117197</v>
      </c>
      <c r="R33" s="27">
        <v>123193662.10594112</v>
      </c>
      <c r="S33" s="27">
        <v>123309622.17233846</v>
      </c>
      <c r="T33" s="27">
        <v>123405965.65335974</v>
      </c>
      <c r="U33" s="27">
        <v>123429920.38253914</v>
      </c>
      <c r="V33" s="27">
        <v>123621407.67702611</v>
      </c>
      <c r="W33" s="27">
        <v>123687566.40946366</v>
      </c>
      <c r="X33" s="27">
        <v>123800427.61980511</v>
      </c>
      <c r="Y33" s="27">
        <v>123862936.06696701</v>
      </c>
      <c r="Z33" s="27">
        <v>123990357.48524289</v>
      </c>
      <c r="AA33" s="27">
        <v>124191413.78016338</v>
      </c>
      <c r="AB33" s="27">
        <v>124461526.3744449</v>
      </c>
      <c r="AC33" s="27">
        <v>124875922.77403903</v>
      </c>
      <c r="AD33" s="27">
        <v>125111570.85820733</v>
      </c>
      <c r="AE33" s="27">
        <v>126213815.25338241</v>
      </c>
      <c r="AF33" s="27">
        <v>126281563.4231616</v>
      </c>
      <c r="AG33" s="27">
        <v>126357139.45149574</v>
      </c>
      <c r="AH33" s="27">
        <v>126524559.09049763</v>
      </c>
      <c r="AI33" s="15">
        <v>23071016.679166701</v>
      </c>
      <c r="AJ33" s="30">
        <f t="shared" si="0"/>
        <v>126524559.09049763</v>
      </c>
      <c r="AK33" s="30">
        <f t="shared" si="1"/>
        <v>103453542.41133092</v>
      </c>
    </row>
    <row r="34" spans="1:37" ht="15.6" x14ac:dyDescent="0.3">
      <c r="A34" s="6"/>
      <c r="B34" s="6">
        <v>0</v>
      </c>
      <c r="C34" s="6"/>
      <c r="D34" s="27"/>
      <c r="E34" s="27"/>
      <c r="F34" s="27"/>
      <c r="G34" s="6"/>
      <c r="H34" s="6"/>
      <c r="I34" s="6"/>
      <c r="J34" s="6"/>
      <c r="K34" s="6"/>
      <c r="L34" s="6"/>
      <c r="M34" s="6"/>
      <c r="N34" s="9"/>
      <c r="O34" s="9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0</v>
      </c>
      <c r="AF34" s="6">
        <v>0</v>
      </c>
      <c r="AG34" s="6">
        <v>0</v>
      </c>
      <c r="AH34" s="6"/>
      <c r="AI34" s="31">
        <f>SUM(AI2:AI33)</f>
        <v>2755850269.968102</v>
      </c>
      <c r="AJ34" s="32">
        <f>SUM(AJ2:AJ33)</f>
        <v>3125577119.5664492</v>
      </c>
      <c r="AK34" s="33">
        <f t="shared" si="1"/>
        <v>369726849.59834719</v>
      </c>
    </row>
    <row r="35" spans="1:37" x14ac:dyDescent="0.3">
      <c r="A35" s="6"/>
      <c r="B35" s="6">
        <v>0</v>
      </c>
      <c r="C35" s="6">
        <v>0</v>
      </c>
      <c r="D35" s="27">
        <v>0</v>
      </c>
      <c r="E35" s="27">
        <v>0</v>
      </c>
      <c r="F35" s="27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9">
        <v>0</v>
      </c>
      <c r="O35" s="9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/>
    </row>
    <row r="37" spans="1:37" x14ac:dyDescent="0.3">
      <c r="C37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Triangle Imcremente</vt:lpstr>
      <vt:lpstr> somme diagonal</vt:lpstr>
      <vt:lpstr>recursion separation</vt:lpstr>
      <vt:lpstr>r_table</vt:lpstr>
      <vt:lpstr>lambda</vt:lpstr>
      <vt:lpstr>tableau complet incremente</vt:lpstr>
      <vt:lpstr>tableau complet 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kchikach riyane</dc:creator>
  <cp:lastModifiedBy>kchikach riyane</cp:lastModifiedBy>
  <dcterms:created xsi:type="dcterms:W3CDTF">2026-07-24T14:37:57Z</dcterms:created>
  <dcterms:modified xsi:type="dcterms:W3CDTF">2026-07-27T10:23:08Z</dcterms:modified>
</cp:coreProperties>
</file>