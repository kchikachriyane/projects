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4280966CA7959B1/Documents/"/>
    </mc:Choice>
  </mc:AlternateContent>
  <xr:revisionPtr revIDLastSave="115" documentId="8_{61E85386-002C-409D-9FF8-A03873317663}" xr6:coauthVersionLast="47" xr6:coauthVersionMax="47" xr10:uidLastSave="{D11565C5-A242-4D12-AC2E-03660B3C2BA8}"/>
  <bookViews>
    <workbookView xWindow="28680" yWindow="-120" windowWidth="29040" windowHeight="15720" tabRatio="500" xr2:uid="{00000000-000D-0000-FFFF-FFFF00000000}"/>
  </bookViews>
  <sheets>
    <sheet name="triangle compl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34" i="1" l="1"/>
  <c r="AI34" i="1"/>
  <c r="AK34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2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2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B36" i="1"/>
  <c r="AC7" i="1" s="1"/>
  <c r="AC36" i="1"/>
  <c r="AD6" i="1" s="1"/>
  <c r="AA36" i="1"/>
  <c r="AG5" i="1"/>
  <c r="AG4" i="1"/>
  <c r="AG3" i="1"/>
  <c r="AH3" i="1" s="1"/>
  <c r="AF35" i="1"/>
  <c r="AF4" i="1"/>
  <c r="B35" i="1"/>
  <c r="C33" i="1" s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AE36" i="1"/>
  <c r="AD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D32" i="1" s="1"/>
  <c r="B36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J26" i="1"/>
  <c r="O21" i="1"/>
  <c r="P21" i="1" s="1"/>
  <c r="Q21" i="1" s="1"/>
  <c r="R21" i="1" s="1"/>
  <c r="S21" i="1" s="1"/>
  <c r="T21" i="1" s="1"/>
  <c r="U21" i="1" s="1"/>
  <c r="V21" i="1" s="1"/>
  <c r="T16" i="1"/>
  <c r="U16" i="1" s="1"/>
  <c r="V16" i="1" s="1"/>
  <c r="U15" i="1"/>
  <c r="V15" i="1" s="1"/>
  <c r="AH2" i="1"/>
  <c r="AH4" i="1" l="1"/>
  <c r="AA9" i="1"/>
  <c r="Z11" i="1"/>
  <c r="AA11" i="1" s="1"/>
  <c r="AB11" i="1" s="1"/>
  <c r="AC11" i="1" s="1"/>
  <c r="AD11" i="1" s="1"/>
  <c r="AE11" i="1" s="1"/>
  <c r="AF11" i="1" s="1"/>
  <c r="AH11" i="1" s="1"/>
  <c r="Y11" i="1"/>
  <c r="X12" i="1"/>
  <c r="Y12" i="1" s="1"/>
  <c r="Z12" i="1" s="1"/>
  <c r="AA12" i="1" s="1"/>
  <c r="AB12" i="1" s="1"/>
  <c r="AC12" i="1" s="1"/>
  <c r="AD12" i="1" s="1"/>
  <c r="AE12" i="1" s="1"/>
  <c r="AF12" i="1" s="1"/>
  <c r="AH12" i="1" s="1"/>
  <c r="W13" i="1"/>
  <c r="X13" i="1" s="1"/>
  <c r="Y13" i="1" s="1"/>
  <c r="Z13" i="1" s="1"/>
  <c r="AA13" i="1" s="1"/>
  <c r="AB13" i="1" s="1"/>
  <c r="AC13" i="1" s="1"/>
  <c r="AD13" i="1" s="1"/>
  <c r="AE13" i="1" s="1"/>
  <c r="AF13" i="1" s="1"/>
  <c r="AH13" i="1" s="1"/>
  <c r="V14" i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H14" i="1" s="1"/>
  <c r="N22" i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H22" i="1" s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H23" i="1" s="1"/>
  <c r="M24" i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H24" i="1" s="1"/>
  <c r="L24" i="1"/>
  <c r="K25" i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H25" i="1" s="1"/>
  <c r="K26" i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H26" i="1" s="1"/>
  <c r="I27" i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H27" i="1" s="1"/>
  <c r="H28" i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G29" i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F30" i="1"/>
  <c r="G30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H31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H32" i="1" s="1"/>
  <c r="AE5" i="1"/>
  <c r="AF5" i="1" s="1"/>
  <c r="AH5" i="1" s="1"/>
  <c r="AE6" i="1"/>
  <c r="AF6" i="1" s="1"/>
  <c r="AG6" i="1" s="1"/>
  <c r="AH6" i="1" s="1"/>
  <c r="AD7" i="1"/>
  <c r="AE7" i="1" s="1"/>
  <c r="AF7" i="1" s="1"/>
  <c r="AG7" i="1" s="1"/>
  <c r="AH7" i="1" s="1"/>
  <c r="AB9" i="1"/>
  <c r="AC9" i="1" s="1"/>
  <c r="AD9" i="1" s="1"/>
  <c r="AE9" i="1" s="1"/>
  <c r="AF9" i="1" s="1"/>
  <c r="AH9" i="1" s="1"/>
  <c r="AB8" i="1"/>
  <c r="AC8" i="1" s="1"/>
  <c r="AD8" i="1" s="1"/>
  <c r="AE8" i="1" s="1"/>
  <c r="AF8" i="1" s="1"/>
  <c r="AH8" i="1" s="1"/>
  <c r="Z10" i="1"/>
  <c r="AA10" i="1" s="1"/>
  <c r="AB10" i="1" s="1"/>
  <c r="AC10" i="1" s="1"/>
  <c r="AD10" i="1" s="1"/>
  <c r="AE10" i="1" s="1"/>
  <c r="AF10" i="1" s="1"/>
  <c r="AH10" i="1" s="1"/>
  <c r="W16" i="1"/>
  <c r="X16" i="1" s="1"/>
  <c r="Y16" i="1" s="1"/>
  <c r="Z16" i="1" s="1"/>
  <c r="AA16" i="1" s="1"/>
  <c r="AB16" i="1" s="1"/>
  <c r="AC16" i="1" s="1"/>
  <c r="AD16" i="1" s="1"/>
  <c r="AE16" i="1" s="1"/>
  <c r="AF16" i="1" s="1"/>
  <c r="AH16" i="1" s="1"/>
  <c r="W15" i="1"/>
  <c r="X15" i="1" s="1"/>
  <c r="Y15" i="1" s="1"/>
  <c r="Z15" i="1" s="1"/>
  <c r="AA15" i="1" s="1"/>
  <c r="AB15" i="1" s="1"/>
  <c r="AC15" i="1" s="1"/>
  <c r="AD15" i="1" s="1"/>
  <c r="AE15" i="1" s="1"/>
  <c r="AF15" i="1" s="1"/>
  <c r="AH15" i="1" s="1"/>
  <c r="W21" i="1"/>
  <c r="X21" i="1" s="1"/>
  <c r="Y21" i="1" s="1"/>
  <c r="Z21" i="1" s="1"/>
  <c r="AA21" i="1" s="1"/>
  <c r="AB21" i="1" s="1"/>
  <c r="AC21" i="1" s="1"/>
  <c r="AD21" i="1" s="1"/>
  <c r="AE21" i="1" s="1"/>
  <c r="AF21" i="1" s="1"/>
  <c r="AH21" i="1" s="1"/>
  <c r="W33" i="1"/>
  <c r="X33" i="1" s="1"/>
  <c r="Y33" i="1" s="1"/>
  <c r="Z33" i="1" s="1"/>
  <c r="AA33" i="1" s="1"/>
  <c r="AB33" i="1" s="1"/>
  <c r="AC33" i="1" s="1"/>
  <c r="AD33" i="1" s="1"/>
  <c r="AE33" i="1" s="1"/>
  <c r="AF33" i="1" s="1"/>
  <c r="AH33" i="1" s="1"/>
  <c r="S17" i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H17" i="1" s="1"/>
  <c r="R18" i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H18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H19" i="1" s="1"/>
  <c r="P20" i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H20" i="1" s="1"/>
  <c r="H30" i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H30" i="1" s="1"/>
</calcChain>
</file>

<file path=xl/sharedStrings.xml><?xml version="1.0" encoding="utf-8"?>
<sst xmlns="http://schemas.openxmlformats.org/spreadsheetml/2006/main" count="38" uniqueCount="38">
  <si>
    <t>N+0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</si>
  <si>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</si>
  <si>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</si>
  <si>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</si>
  <si>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</si>
  <si>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</si>
  <si>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</si>
  <si>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</si>
  <si>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</si>
  <si>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</si>
  <si>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N+10</t>
  </si>
  <si>
    <t>N+11</t>
  </si>
  <si>
    <t>N+12</t>
  </si>
  <si>
    <t>N+13</t>
  </si>
  <si>
    <t>N+14</t>
  </si>
  <si>
    <t>N+15</t>
  </si>
  <si>
    <t>N+16</t>
  </si>
  <si>
    <t>N+17</t>
  </si>
  <si>
    <t>N+18</t>
  </si>
  <si>
    <t>N+19</t>
  </si>
  <si>
    <t>N+20</t>
  </si>
  <si>
    <t>N+21</t>
  </si>
  <si>
    <t>N+22</t>
  </si>
  <si>
    <t>N+23</t>
  </si>
  <si>
    <t>N+24</t>
  </si>
  <si>
    <t>N+25</t>
  </si>
  <si>
    <t>N+26</t>
  </si>
  <si>
    <t>N+27</t>
  </si>
  <si>
    <t>N+28</t>
  </si>
  <si>
    <t>N+29</t>
  </si>
  <si>
    <t>N+30</t>
  </si>
  <si>
    <t>N+31</t>
  </si>
  <si>
    <t>N+32</t>
  </si>
  <si>
    <t>Slope / pente bk</t>
  </si>
  <si>
    <t>Intercept ak</t>
  </si>
  <si>
    <t>dernier paye</t>
  </si>
  <si>
    <t>IBNR London</t>
  </si>
  <si>
    <t>Ultime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</si>
</sst>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(* #,##0_);_(* \(#,##0\);_(* \-??_);_(@_)"/>
  </numFmts>
  <fonts count="14" x14ac:knownFonts="1">
    <font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334155"/>
      <name val="Arial"/>
      <family val="2"/>
      <charset val="1"/>
    </font>
    <font>
      <sz val="10"/>
      <color rgb="FFFFFFFF"/>
      <name val="Trebuchet MS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/>
      <sz val="11"/>
      <color theme="1"/>
      <name val="Aptos Narrow"/>
      <family val="2"/>
    </font>
    <font>
      <b/>
      <sz val="11"/>
      <name val="Calibri"/>
      <family val="2"/>
    </font>
    <font>
      <b/>
      <sz val="11"/>
      <name val="Aptos Narrow"/>
      <family val="2"/>
    </font>
    <font>
      <b/>
      <sz val="12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8FAFC"/>
      </patternFill>
    </fill>
    <fill>
      <patternFill patternType="solid">
        <fgColor rgb="FF002060"/>
        <bgColor rgb="FF000080"/>
      </patternFill>
    </fill>
    <fill>
      <patternFill patternType="solid">
        <fgColor rgb="FFF8FAF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7" fillId="0" borderId="0"/>
  </cellStyleXfs>
  <cellXfs count="20">
    <xf numFmtId="0" fontId="0" fillId="0" borderId="0" xfId="0"/>
    <xf numFmtId="165" fontId="1" fillId="2" borderId="0" xfId="1" applyNumberFormat="1" applyFont="1" applyFill="1"/>
    <xf numFmtId="165" fontId="2" fillId="3" borderId="0" xfId="1" applyNumberFormat="1" applyFont="1" applyFill="1"/>
    <xf numFmtId="165" fontId="2" fillId="3" borderId="1" xfId="1" applyNumberFormat="1" applyFont="1" applyFill="1" applyBorder="1" applyAlignment="1">
      <alignment horizontal="center"/>
    </xf>
    <xf numFmtId="165" fontId="2" fillId="3" borderId="0" xfId="1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165" fontId="5" fillId="2" borderId="0" xfId="1" applyNumberFormat="1" applyFont="1" applyFill="1"/>
    <xf numFmtId="165" fontId="5" fillId="5" borderId="0" xfId="1" applyNumberFormat="1" applyFont="1" applyFill="1"/>
    <xf numFmtId="165" fontId="0" fillId="0" borderId="0" xfId="0" applyNumberFormat="1"/>
    <xf numFmtId="0" fontId="1" fillId="0" borderId="0" xfId="0" applyFont="1"/>
    <xf numFmtId="0" fontId="6" fillId="0" borderId="0" xfId="0" applyFont="1"/>
    <xf numFmtId="165" fontId="8" fillId="2" borderId="0" xfId="1" applyNumberFormat="1" applyFont="1" applyFill="1"/>
    <xf numFmtId="165" fontId="8" fillId="2" borderId="0" xfId="0" applyNumberFormat="1" applyFont="1" applyFill="1"/>
    <xf numFmtId="165" fontId="9" fillId="5" borderId="0" xfId="1" applyNumberFormat="1" applyFont="1" applyFill="1"/>
    <xf numFmtId="0" fontId="10" fillId="0" borderId="0" xfId="0" applyFont="1"/>
    <xf numFmtId="0" fontId="11" fillId="2" borderId="0" xfId="0" applyFont="1" applyFill="1"/>
    <xf numFmtId="0" fontId="12" fillId="0" borderId="0" xfId="0" applyFont="1"/>
    <xf numFmtId="165" fontId="12" fillId="0" borderId="0" xfId="0" applyNumberFormat="1" applyFont="1"/>
    <xf numFmtId="165" fontId="13" fillId="6" borderId="0" xfId="0" applyNumberFormat="1" applyFont="1" applyFill="1"/>
  </cellXfs>
  <cellStyles count="2">
    <cellStyle name="Milliers 10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"/>
  <sheetViews>
    <sheetView tabSelected="1" zoomScale="82" zoomScaleNormal="82" workbookViewId="0">
      <selection activeCell="AK34" sqref="AK34"/>
    </sheetView>
  </sheetViews>
  <sheetFormatPr defaultColWidth="8.5546875" defaultRowHeight="14.4" x14ac:dyDescent="0.3"/>
  <cols>
    <col min="1" max="1" width="14.88671875" customWidth="1"/>
    <col min="2" max="3" width="12.33203125" bestFit="1" customWidth="1"/>
    <col min="4" max="4" width="12" customWidth="1"/>
    <col min="5" max="5" width="13" customWidth="1"/>
    <col min="6" max="7" width="12.6640625" bestFit="1" customWidth="1"/>
    <col min="8" max="8" width="13" customWidth="1"/>
    <col min="9" max="16" width="12.6640625" bestFit="1" customWidth="1"/>
    <col min="17" max="17" width="13" bestFit="1" customWidth="1"/>
    <col min="18" max="18" width="12.6640625" bestFit="1" customWidth="1"/>
    <col min="19" max="21" width="13" bestFit="1" customWidth="1"/>
    <col min="22" max="26" width="12.6640625" bestFit="1" customWidth="1"/>
    <col min="27" max="28" width="13" bestFit="1" customWidth="1"/>
    <col min="29" max="29" width="12.6640625" bestFit="1" customWidth="1"/>
    <col min="30" max="30" width="13" bestFit="1" customWidth="1"/>
    <col min="31" max="34" width="12.6640625" bestFit="1" customWidth="1"/>
    <col min="35" max="35" width="14.109375" customWidth="1"/>
    <col min="36" max="36" width="15.109375" bestFit="1" customWidth="1"/>
    <col min="37" max="37" width="14.33203125" bestFit="1" customWidth="1"/>
  </cols>
  <sheetData>
    <row r="1" spans="1:37" ht="27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5" t="s">
        <v>35</v>
      </c>
      <c r="AJ1" s="5" t="s">
        <v>37</v>
      </c>
      <c r="AK1" s="5" t="s">
        <v>36</v>
      </c>
    </row>
    <row r="2" spans="1:37" ht="15" customHeight="1" x14ac:dyDescent="0.35">
      <c r="A2" s="6">
        <v>1993</v>
      </c>
      <c r="B2" s="7">
        <v>6185001.3499999996</v>
      </c>
      <c r="C2" s="7">
        <v>22662636.787500001</v>
      </c>
      <c r="D2" s="7">
        <v>37222868.758333303</v>
      </c>
      <c r="E2" s="7">
        <v>43203727.9333333</v>
      </c>
      <c r="F2" s="7">
        <v>48732812.145833299</v>
      </c>
      <c r="G2" s="7">
        <v>52045531.200000003</v>
      </c>
      <c r="H2" s="7">
        <v>54302444.6916667</v>
      </c>
      <c r="I2" s="7">
        <v>54865912.575000003</v>
      </c>
      <c r="J2" s="7">
        <v>55247513.945833303</v>
      </c>
      <c r="K2" s="7">
        <v>55601973.170833297</v>
      </c>
      <c r="L2" s="7">
        <v>56015721.720833302</v>
      </c>
      <c r="M2" s="7">
        <v>56024036.016666703</v>
      </c>
      <c r="N2" s="7">
        <v>59456302.497500002</v>
      </c>
      <c r="O2" s="7">
        <v>61610681.2541667</v>
      </c>
      <c r="P2" s="7">
        <v>62086519.987499997</v>
      </c>
      <c r="Q2" s="7">
        <v>62406940.241666697</v>
      </c>
      <c r="R2" s="7">
        <v>62389330.741666697</v>
      </c>
      <c r="S2" s="7">
        <v>62407342.950000003</v>
      </c>
      <c r="T2" s="7">
        <v>62267668.487499997</v>
      </c>
      <c r="U2" s="7">
        <v>62276642.179166697</v>
      </c>
      <c r="V2" s="7">
        <v>62291444.7541667</v>
      </c>
      <c r="W2" s="7">
        <v>62299888.1291667</v>
      </c>
      <c r="X2" s="7">
        <v>62311332.674999997</v>
      </c>
      <c r="Y2" s="7">
        <v>62344016.762500003</v>
      </c>
      <c r="Z2" s="7">
        <v>62338499.104166701</v>
      </c>
      <c r="AA2" s="7">
        <v>62596078.412500001</v>
      </c>
      <c r="AB2" s="7">
        <v>62724537.8166667</v>
      </c>
      <c r="AC2" s="7">
        <v>62788022.354166701</v>
      </c>
      <c r="AD2" s="7">
        <v>63224289.954166703</v>
      </c>
      <c r="AE2" s="7">
        <v>63344293.033333302</v>
      </c>
      <c r="AF2" s="7">
        <v>63432202.970833302</v>
      </c>
      <c r="AG2" s="8">
        <v>63489194.450000003</v>
      </c>
      <c r="AH2" s="13">
        <f t="shared" ref="AH2:AH33" si="0">AG2</f>
        <v>63489194.450000003</v>
      </c>
      <c r="AI2" s="9">
        <f>AG2</f>
        <v>63489194.450000003</v>
      </c>
      <c r="AJ2" s="9">
        <f>AH2</f>
        <v>63489194.450000003</v>
      </c>
      <c r="AK2" s="9">
        <f>AJ2-AI2</f>
        <v>0</v>
      </c>
    </row>
    <row r="3" spans="1:37" ht="15" customHeight="1" x14ac:dyDescent="0.35">
      <c r="A3" s="6">
        <v>1994</v>
      </c>
      <c r="B3" s="7">
        <v>8447485.8291666694</v>
      </c>
      <c r="C3" s="7">
        <v>26669272.283333302</v>
      </c>
      <c r="D3" s="7">
        <v>39750199.158333302</v>
      </c>
      <c r="E3" s="7">
        <v>49089247.345833302</v>
      </c>
      <c r="F3" s="7">
        <v>54562161.649999999</v>
      </c>
      <c r="G3" s="7">
        <v>58963473.654166698</v>
      </c>
      <c r="H3" s="7">
        <v>60572803.395833403</v>
      </c>
      <c r="I3" s="7">
        <v>61846679.016666703</v>
      </c>
      <c r="J3" s="7">
        <v>62753867.783333302</v>
      </c>
      <c r="K3" s="7">
        <v>63250132.5625</v>
      </c>
      <c r="L3" s="7">
        <v>63055235.858333401</v>
      </c>
      <c r="M3" s="7">
        <v>67483183.405833393</v>
      </c>
      <c r="N3" s="7">
        <v>70457600.424999997</v>
      </c>
      <c r="O3" s="7">
        <v>70783581.9458334</v>
      </c>
      <c r="P3" s="7">
        <v>71022083.858333394</v>
      </c>
      <c r="Q3" s="7">
        <v>71070725.637500003</v>
      </c>
      <c r="R3" s="7">
        <v>71020970.629166707</v>
      </c>
      <c r="S3" s="7">
        <v>71330853.8833334</v>
      </c>
      <c r="T3" s="7">
        <v>71424601.6958334</v>
      </c>
      <c r="U3" s="7">
        <v>71501923.491666704</v>
      </c>
      <c r="V3" s="7">
        <v>71505904.7583334</v>
      </c>
      <c r="W3" s="7">
        <v>71495411.125</v>
      </c>
      <c r="X3" s="7">
        <v>71543328.033333406</v>
      </c>
      <c r="Y3" s="7">
        <v>71503977.354166701</v>
      </c>
      <c r="Z3" s="7">
        <v>71696007.166666701</v>
      </c>
      <c r="AA3" s="7">
        <v>71845710.266666695</v>
      </c>
      <c r="AB3" s="7">
        <v>72085551.808333397</v>
      </c>
      <c r="AC3" s="7">
        <v>72517911.066666707</v>
      </c>
      <c r="AD3" s="7">
        <v>72555491.708333403</v>
      </c>
      <c r="AE3" s="7">
        <v>72652776.870833397</v>
      </c>
      <c r="AF3" s="8">
        <v>72666363.983333394</v>
      </c>
      <c r="AG3" s="13">
        <f>AF3*AF35</f>
        <v>72731652.013310552</v>
      </c>
      <c r="AH3" s="13">
        <f t="shared" si="0"/>
        <v>72731652.013310552</v>
      </c>
      <c r="AI3" s="9">
        <f>AF3</f>
        <v>72666363.983333394</v>
      </c>
      <c r="AJ3" s="9">
        <f t="shared" ref="AJ3:AJ33" si="1">AH3</f>
        <v>72731652.013310552</v>
      </c>
      <c r="AK3" s="9">
        <f t="shared" ref="AK3:AK33" si="2">AJ3-AI3</f>
        <v>65288.029977157712</v>
      </c>
    </row>
    <row r="4" spans="1:37" ht="15" customHeight="1" x14ac:dyDescent="0.35">
      <c r="A4" s="6">
        <v>1995</v>
      </c>
      <c r="B4" s="7">
        <v>9650006.4791666698</v>
      </c>
      <c r="C4" s="7">
        <v>26172200.550000001</v>
      </c>
      <c r="D4" s="7">
        <v>43629894.3125</v>
      </c>
      <c r="E4" s="7">
        <v>55074210.866666697</v>
      </c>
      <c r="F4" s="7">
        <v>62014190.162500001</v>
      </c>
      <c r="G4" s="7">
        <v>65214943.758333303</v>
      </c>
      <c r="H4" s="7">
        <v>67547496.037499994</v>
      </c>
      <c r="I4" s="7">
        <v>68780385.529166698</v>
      </c>
      <c r="J4" s="7">
        <v>70102180.733333305</v>
      </c>
      <c r="K4" s="7">
        <v>70368209.916666701</v>
      </c>
      <c r="L4" s="7">
        <v>75657016.037499994</v>
      </c>
      <c r="M4" s="7">
        <v>79450978.933333293</v>
      </c>
      <c r="N4" s="7">
        <v>79527964.995833293</v>
      </c>
      <c r="O4" s="7">
        <v>79654693.283333302</v>
      </c>
      <c r="P4" s="7">
        <v>79762871.945833296</v>
      </c>
      <c r="Q4" s="7">
        <v>79858095.5625</v>
      </c>
      <c r="R4" s="7">
        <v>79923974.991666704</v>
      </c>
      <c r="S4" s="7">
        <v>80063265.279166698</v>
      </c>
      <c r="T4" s="7">
        <v>80085948.875</v>
      </c>
      <c r="U4" s="7">
        <v>80090353.945833296</v>
      </c>
      <c r="V4" s="7">
        <v>80070385.887500003</v>
      </c>
      <c r="W4" s="7">
        <v>80337218.904166698</v>
      </c>
      <c r="X4" s="7">
        <v>80549136.579166606</v>
      </c>
      <c r="Y4" s="7">
        <v>80693623.941666603</v>
      </c>
      <c r="Z4" s="7">
        <v>80711354.104166597</v>
      </c>
      <c r="AA4" s="7">
        <v>80766925.316666603</v>
      </c>
      <c r="AB4" s="7">
        <v>80625417.75</v>
      </c>
      <c r="AC4" s="7">
        <v>81639696.237499997</v>
      </c>
      <c r="AD4" s="7">
        <v>81859943.345833302</v>
      </c>
      <c r="AE4" s="8">
        <v>84090880.587500006</v>
      </c>
      <c r="AF4" s="13">
        <f>AE$36+AE$35*AE4</f>
        <v>84013141.099910647</v>
      </c>
      <c r="AG4" s="13">
        <f>AF4*AF35</f>
        <v>84088623.787827492</v>
      </c>
      <c r="AH4" s="13">
        <f t="shared" si="0"/>
        <v>84088623.787827492</v>
      </c>
      <c r="AI4" s="9">
        <f>AE4</f>
        <v>84090880.587500006</v>
      </c>
      <c r="AJ4" s="9">
        <f t="shared" si="1"/>
        <v>84088623.787827492</v>
      </c>
      <c r="AK4" s="9">
        <f t="shared" si="2"/>
        <v>-2256.7996725142002</v>
      </c>
    </row>
    <row r="5" spans="1:37" ht="15" customHeight="1" x14ac:dyDescent="0.35">
      <c r="A5" s="6">
        <v>1996</v>
      </c>
      <c r="B5" s="7">
        <v>8642833.5999999996</v>
      </c>
      <c r="C5" s="7">
        <v>27674183.5</v>
      </c>
      <c r="D5" s="7">
        <v>46434817.045833297</v>
      </c>
      <c r="E5" s="7">
        <v>61674228.858333297</v>
      </c>
      <c r="F5" s="7">
        <v>68252688.158333406</v>
      </c>
      <c r="G5" s="7">
        <v>71119625.724999994</v>
      </c>
      <c r="H5" s="7">
        <v>73141445.875</v>
      </c>
      <c r="I5" s="7">
        <v>74254056</v>
      </c>
      <c r="J5" s="7">
        <v>74875818.891666695</v>
      </c>
      <c r="K5" s="7">
        <v>80085044.966666698</v>
      </c>
      <c r="L5" s="7">
        <v>83447477</v>
      </c>
      <c r="M5" s="7">
        <v>83556475.362499997</v>
      </c>
      <c r="N5" s="7">
        <v>83626647.279166698</v>
      </c>
      <c r="O5" s="7">
        <v>83918544.625</v>
      </c>
      <c r="P5" s="7">
        <v>83954547.141666695</v>
      </c>
      <c r="Q5" s="7">
        <v>83935148.333333299</v>
      </c>
      <c r="R5" s="7">
        <v>84005311.729166701</v>
      </c>
      <c r="S5" s="7">
        <v>84056685.595833302</v>
      </c>
      <c r="T5" s="7">
        <v>84052035.174999997</v>
      </c>
      <c r="U5" s="7">
        <v>83877873.424999997</v>
      </c>
      <c r="V5" s="7">
        <v>84019821.512500003</v>
      </c>
      <c r="W5" s="7">
        <v>83986952.616666704</v>
      </c>
      <c r="X5" s="7">
        <v>84119470.612499997</v>
      </c>
      <c r="Y5" s="7">
        <v>84149575.458333299</v>
      </c>
      <c r="Z5" s="7">
        <v>84331286.429166704</v>
      </c>
      <c r="AA5" s="7">
        <v>84538910.033333406</v>
      </c>
      <c r="AB5" s="7">
        <v>84649754.604166701</v>
      </c>
      <c r="AC5" s="7">
        <v>84448505.783333406</v>
      </c>
      <c r="AD5" s="8">
        <v>84426967.174999997</v>
      </c>
      <c r="AE5" s="13">
        <f t="shared" ref="AE5:AE33" si="3">AD$36+AD$35*AD5</f>
        <v>86588122.657143533</v>
      </c>
      <c r="AF5" s="13">
        <f t="shared" ref="AF5:AF33" si="4">AE$36+AE$35*AE5</f>
        <v>86490444.145265698</v>
      </c>
      <c r="AG5" s="13">
        <f>AF5*AF35</f>
        <v>86568152.597987905</v>
      </c>
      <c r="AH5" s="13">
        <f t="shared" si="0"/>
        <v>86568152.597987905</v>
      </c>
      <c r="AI5" s="9">
        <f>AD5</f>
        <v>84426967.174999997</v>
      </c>
      <c r="AJ5" s="9">
        <f t="shared" si="1"/>
        <v>86568152.597987905</v>
      </c>
      <c r="AK5" s="9">
        <f t="shared" si="2"/>
        <v>2141185.4229879081</v>
      </c>
    </row>
    <row r="6" spans="1:37" ht="15" customHeight="1" x14ac:dyDescent="0.35">
      <c r="A6" s="6">
        <v>1997</v>
      </c>
      <c r="B6" s="7">
        <v>8686941.6291666701</v>
      </c>
      <c r="C6" s="7">
        <v>28596777.645833299</v>
      </c>
      <c r="D6" s="7">
        <v>51082151.950000003</v>
      </c>
      <c r="E6" s="7">
        <v>66157706.020833299</v>
      </c>
      <c r="F6" s="7">
        <v>73563633.200000003</v>
      </c>
      <c r="G6" s="7">
        <v>77465355.849999994</v>
      </c>
      <c r="H6" s="7">
        <v>80751994.5625</v>
      </c>
      <c r="I6" s="7">
        <v>83386932.012500003</v>
      </c>
      <c r="J6" s="7">
        <v>90496024.349166706</v>
      </c>
      <c r="K6" s="7">
        <v>95130525.037499994</v>
      </c>
      <c r="L6" s="7">
        <v>96157240.012500003</v>
      </c>
      <c r="M6" s="7">
        <v>96594597.658333406</v>
      </c>
      <c r="N6" s="7">
        <v>96663664.087500006</v>
      </c>
      <c r="O6" s="7">
        <v>96695828.362499997</v>
      </c>
      <c r="P6" s="7">
        <v>96688476.870833397</v>
      </c>
      <c r="Q6" s="7">
        <v>97098776.191666707</v>
      </c>
      <c r="R6" s="7">
        <v>97108688.816666707</v>
      </c>
      <c r="S6" s="7">
        <v>97123409.020833403</v>
      </c>
      <c r="T6" s="7">
        <v>97143708.412499994</v>
      </c>
      <c r="U6" s="7">
        <v>96855625.895833403</v>
      </c>
      <c r="V6" s="7">
        <v>96995509.233333394</v>
      </c>
      <c r="W6" s="7">
        <v>97227090.737499997</v>
      </c>
      <c r="X6" s="7">
        <v>97380776.495833397</v>
      </c>
      <c r="Y6" s="7">
        <v>97354424.479166701</v>
      </c>
      <c r="Z6" s="7">
        <v>97463193.370833397</v>
      </c>
      <c r="AA6" s="7">
        <v>97410819.670833394</v>
      </c>
      <c r="AB6" s="7">
        <v>97641688.691666707</v>
      </c>
      <c r="AC6" s="8">
        <v>97729056.962500006</v>
      </c>
      <c r="AD6" s="13">
        <f>AC$36+AC$35*AC6</f>
        <v>97555740.70224826</v>
      </c>
      <c r="AE6" s="13">
        <f t="shared" si="3"/>
        <v>101203316.38456692</v>
      </c>
      <c r="AF6" s="13">
        <f t="shared" si="4"/>
        <v>100988944.05823904</v>
      </c>
      <c r="AG6" s="13">
        <f>AF6*AF35</f>
        <v>101079678.87481177</v>
      </c>
      <c r="AH6" s="13">
        <f t="shared" si="0"/>
        <v>101079678.87481177</v>
      </c>
      <c r="AI6" s="9">
        <f>AC6</f>
        <v>97729056.962500006</v>
      </c>
      <c r="AJ6" s="9">
        <f t="shared" si="1"/>
        <v>101079678.87481177</v>
      </c>
      <c r="AK6" s="9">
        <f t="shared" si="2"/>
        <v>3350621.9123117626</v>
      </c>
    </row>
    <row r="7" spans="1:37" ht="15" customHeight="1" x14ac:dyDescent="0.35">
      <c r="A7" s="6">
        <v>1998</v>
      </c>
      <c r="B7" s="7">
        <v>8406470.9875000007</v>
      </c>
      <c r="C7" s="7">
        <v>33569386.429166697</v>
      </c>
      <c r="D7" s="7">
        <v>56225915.516666703</v>
      </c>
      <c r="E7" s="7">
        <v>69856891.537499994</v>
      </c>
      <c r="F7" s="7">
        <v>77318600.395833299</v>
      </c>
      <c r="G7" s="7">
        <v>82465415.833333299</v>
      </c>
      <c r="H7" s="7">
        <v>85262693.104166701</v>
      </c>
      <c r="I7" s="7">
        <v>91878493.244166702</v>
      </c>
      <c r="J7" s="7">
        <v>97034656.287499994</v>
      </c>
      <c r="K7" s="7">
        <v>97611430.783333406</v>
      </c>
      <c r="L7" s="7">
        <v>98058366.441666707</v>
      </c>
      <c r="M7" s="7">
        <v>98030539.525000006</v>
      </c>
      <c r="N7" s="7">
        <v>97990427.879166707</v>
      </c>
      <c r="O7" s="7">
        <v>98139585.375</v>
      </c>
      <c r="P7" s="7">
        <v>98270182.174999997</v>
      </c>
      <c r="Q7" s="7">
        <v>98318886.891666695</v>
      </c>
      <c r="R7" s="7">
        <v>98341939.158333406</v>
      </c>
      <c r="S7" s="7">
        <v>98392690.450000003</v>
      </c>
      <c r="T7" s="7">
        <v>98620078.229166701</v>
      </c>
      <c r="U7" s="7">
        <v>98678347.287499994</v>
      </c>
      <c r="V7" s="7">
        <v>98919100.979166701</v>
      </c>
      <c r="W7" s="7">
        <v>99074660.520833403</v>
      </c>
      <c r="X7" s="7">
        <v>99191459.75</v>
      </c>
      <c r="Y7" s="7">
        <v>99602902.6958334</v>
      </c>
      <c r="Z7" s="7">
        <v>99697668.683333397</v>
      </c>
      <c r="AA7" s="7">
        <v>100089538.091667</v>
      </c>
      <c r="AB7" s="8">
        <v>100610227.77500001</v>
      </c>
      <c r="AC7" s="13">
        <f>AB$36+AB$35*AB7</f>
        <v>100809142.34314409</v>
      </c>
      <c r="AD7" s="13">
        <f t="shared" ref="AD7:AD33" si="5">AC$36+AC$35*AC7</f>
        <v>100588833.79761164</v>
      </c>
      <c r="AE7" s="13">
        <f t="shared" si="3"/>
        <v>104579811.76625983</v>
      </c>
      <c r="AF7" s="13">
        <f t="shared" si="4"/>
        <v>104338480.08975767</v>
      </c>
      <c r="AG7" s="13">
        <f t="shared" ref="AG7" si="6">AF7</f>
        <v>104338480.08975767</v>
      </c>
      <c r="AH7" s="13">
        <f t="shared" si="0"/>
        <v>104338480.08975767</v>
      </c>
      <c r="AI7" s="9">
        <f>AB7</f>
        <v>100610227.77500001</v>
      </c>
      <c r="AJ7" s="9">
        <f t="shared" si="1"/>
        <v>104338480.08975767</v>
      </c>
      <c r="AK7" s="9">
        <f t="shared" si="2"/>
        <v>3728252.31475766</v>
      </c>
    </row>
    <row r="8" spans="1:37" ht="15" customHeight="1" x14ac:dyDescent="0.35">
      <c r="A8" s="6">
        <v>1999</v>
      </c>
      <c r="B8" s="7">
        <v>9854142.6458333302</v>
      </c>
      <c r="C8" s="7">
        <v>33501760.9416667</v>
      </c>
      <c r="D8" s="7">
        <v>57682620.141666703</v>
      </c>
      <c r="E8" s="7">
        <v>72012964.154166698</v>
      </c>
      <c r="F8" s="7">
        <v>79447232.383333296</v>
      </c>
      <c r="G8" s="7">
        <v>84108022.320833296</v>
      </c>
      <c r="H8" s="7">
        <v>92799907.364166707</v>
      </c>
      <c r="I8" s="7">
        <v>99349954.954166695</v>
      </c>
      <c r="J8" s="7">
        <v>99695050.345833302</v>
      </c>
      <c r="K8" s="7">
        <v>100061288.01666699</v>
      </c>
      <c r="L8" s="7">
        <v>100362607.945833</v>
      </c>
      <c r="M8" s="7">
        <v>100693516.675</v>
      </c>
      <c r="N8" s="7">
        <v>100884700.458333</v>
      </c>
      <c r="O8" s="7">
        <v>101144947.99583299</v>
      </c>
      <c r="P8" s="7">
        <v>101402456.65000001</v>
      </c>
      <c r="Q8" s="7">
        <v>101453934.00416701</v>
      </c>
      <c r="R8" s="7">
        <v>101549766.48333301</v>
      </c>
      <c r="S8" s="7">
        <v>101754034.9375</v>
      </c>
      <c r="T8" s="7">
        <v>101655635.229167</v>
      </c>
      <c r="U8" s="7">
        <v>101874347.04583301</v>
      </c>
      <c r="V8" s="7">
        <v>101879429.416667</v>
      </c>
      <c r="W8" s="7">
        <v>101889401.3</v>
      </c>
      <c r="X8" s="7">
        <v>102078478.020833</v>
      </c>
      <c r="Y8" s="7">
        <v>101831790.595833</v>
      </c>
      <c r="Z8" s="7">
        <v>101981009.616667</v>
      </c>
      <c r="AA8" s="8">
        <v>101916438.20416699</v>
      </c>
      <c r="AB8" s="13">
        <f t="shared" ref="AB8:AB33" si="7">AA$36+AA$35*AA8</f>
        <v>102235226.39617378</v>
      </c>
      <c r="AC8" s="13">
        <f t="shared" ref="AC8:AC33" si="8">AB$36+AB$35*AB8</f>
        <v>102427943.79909121</v>
      </c>
      <c r="AD8" s="13">
        <f t="shared" si="5"/>
        <v>102182937.50319484</v>
      </c>
      <c r="AE8" s="13">
        <f t="shared" si="3"/>
        <v>106354397.52100284</v>
      </c>
      <c r="AF8" s="13">
        <f t="shared" si="4"/>
        <v>106098896.81023046</v>
      </c>
      <c r="AG8" s="13">
        <f>AF8*AF35</f>
        <v>106194222.72962114</v>
      </c>
      <c r="AH8" s="13">
        <f t="shared" si="0"/>
        <v>106194222.72962114</v>
      </c>
      <c r="AI8" s="9">
        <f>AA8</f>
        <v>101916438.20416699</v>
      </c>
      <c r="AJ8" s="9">
        <f t="shared" si="1"/>
        <v>106194222.72962114</v>
      </c>
      <c r="AK8" s="9">
        <f t="shared" si="2"/>
        <v>4277784.5254541487</v>
      </c>
    </row>
    <row r="9" spans="1:37" ht="15" customHeight="1" x14ac:dyDescent="0.35">
      <c r="A9" s="6">
        <v>2000</v>
      </c>
      <c r="B9" s="7">
        <v>7989981.5625</v>
      </c>
      <c r="C9" s="7">
        <v>33420719.779166698</v>
      </c>
      <c r="D9" s="7">
        <v>60773952.929166697</v>
      </c>
      <c r="E9" s="7">
        <v>76778541.004166707</v>
      </c>
      <c r="F9" s="7">
        <v>84634975.070833296</v>
      </c>
      <c r="G9" s="7">
        <v>94133199.120833293</v>
      </c>
      <c r="H9" s="7">
        <v>102646943.529167</v>
      </c>
      <c r="I9" s="7">
        <v>103197694.3875</v>
      </c>
      <c r="J9" s="7">
        <v>103845433.075</v>
      </c>
      <c r="K9" s="7">
        <v>104101770.8125</v>
      </c>
      <c r="L9" s="7">
        <v>104237237.220833</v>
      </c>
      <c r="M9" s="7">
        <v>104304536.758333</v>
      </c>
      <c r="N9" s="7">
        <v>104548947.154167</v>
      </c>
      <c r="O9" s="7">
        <v>104624730.383333</v>
      </c>
      <c r="P9" s="7">
        <v>104595272.791667</v>
      </c>
      <c r="Q9" s="7">
        <v>104629077.208333</v>
      </c>
      <c r="R9" s="7">
        <v>104789055.904167</v>
      </c>
      <c r="S9" s="7">
        <v>104743948.708333</v>
      </c>
      <c r="T9" s="7">
        <v>104849394.6875</v>
      </c>
      <c r="U9" s="7">
        <v>104830791.258333</v>
      </c>
      <c r="V9" s="7">
        <v>104787622.56666701</v>
      </c>
      <c r="W9" s="7">
        <v>104871683.0125</v>
      </c>
      <c r="X9" s="7">
        <v>104734435.44166701</v>
      </c>
      <c r="Y9" s="7">
        <v>104735036.625</v>
      </c>
      <c r="Z9" s="8">
        <v>104689057.229167</v>
      </c>
      <c r="AA9" s="13">
        <f t="shared" ref="AA9:AA33" si="9">Z$36+Z$35*Z9</f>
        <v>104759009.45333987</v>
      </c>
      <c r="AB9" s="13">
        <f t="shared" si="7"/>
        <v>105098287.24303216</v>
      </c>
      <c r="AC9" s="13">
        <f t="shared" si="8"/>
        <v>105280085.95291764</v>
      </c>
      <c r="AD9" s="13">
        <f t="shared" si="5"/>
        <v>104991565.05882344</v>
      </c>
      <c r="AE9" s="13">
        <f t="shared" si="3"/>
        <v>109481013.70860763</v>
      </c>
      <c r="AF9" s="13">
        <f t="shared" si="4"/>
        <v>109200548.78757177</v>
      </c>
      <c r="AG9" s="13">
        <f>AF9*AF35</f>
        <v>109298661.42610148</v>
      </c>
      <c r="AH9" s="13">
        <f t="shared" si="0"/>
        <v>109298661.42610148</v>
      </c>
      <c r="AI9" s="9">
        <f>Z9</f>
        <v>104689057.229167</v>
      </c>
      <c r="AJ9" s="9">
        <f t="shared" si="1"/>
        <v>109298661.42610148</v>
      </c>
      <c r="AK9" s="9">
        <f t="shared" si="2"/>
        <v>4609604.1969344765</v>
      </c>
    </row>
    <row r="10" spans="1:37" ht="15" customHeight="1" x14ac:dyDescent="0.35">
      <c r="A10" s="6">
        <v>2001</v>
      </c>
      <c r="B10" s="7">
        <v>9140247.9958333299</v>
      </c>
      <c r="C10" s="7">
        <v>37331795.462499999</v>
      </c>
      <c r="D10" s="7">
        <v>64710604.283333302</v>
      </c>
      <c r="E10" s="7">
        <v>78516719.237499997</v>
      </c>
      <c r="F10" s="7">
        <v>88715909.711666703</v>
      </c>
      <c r="G10" s="7">
        <v>97660941.0541666</v>
      </c>
      <c r="H10" s="7">
        <v>99235069.708333299</v>
      </c>
      <c r="I10" s="7">
        <v>99956734.3041666</v>
      </c>
      <c r="J10" s="7">
        <v>100498601.21250001</v>
      </c>
      <c r="K10" s="7">
        <v>100825303.67083301</v>
      </c>
      <c r="L10" s="7">
        <v>100871010</v>
      </c>
      <c r="M10" s="7">
        <v>101247065.529167</v>
      </c>
      <c r="N10" s="7">
        <v>101612691.883333</v>
      </c>
      <c r="O10" s="7">
        <v>101655550.90000001</v>
      </c>
      <c r="P10" s="7">
        <v>101557781.96250001</v>
      </c>
      <c r="Q10" s="7">
        <v>101851977.041667</v>
      </c>
      <c r="R10" s="7">
        <v>102185289.425</v>
      </c>
      <c r="S10" s="7">
        <v>102044863.14166699</v>
      </c>
      <c r="T10" s="7">
        <v>101859855.89166699</v>
      </c>
      <c r="U10" s="7">
        <v>102081933.23333301</v>
      </c>
      <c r="V10" s="7">
        <v>102065731.0125</v>
      </c>
      <c r="W10" s="7">
        <v>102013851.241667</v>
      </c>
      <c r="X10" s="7">
        <v>102082672.30833299</v>
      </c>
      <c r="Y10" s="8">
        <v>102159370.875</v>
      </c>
      <c r="Z10" s="13">
        <f t="shared" ref="Z10:Z33" si="10">Y$36+Y$35*Y10</f>
        <v>102243502.16119976</v>
      </c>
      <c r="AA10" s="13">
        <f t="shared" si="9"/>
        <v>102321734.40827024</v>
      </c>
      <c r="AB10" s="13">
        <f t="shared" si="7"/>
        <v>102643444.02438132</v>
      </c>
      <c r="AC10" s="13">
        <f t="shared" si="8"/>
        <v>102834604.63084522</v>
      </c>
      <c r="AD10" s="13">
        <f t="shared" si="5"/>
        <v>102583393.98686865</v>
      </c>
      <c r="AE10" s="13">
        <f t="shared" si="3"/>
        <v>106800193.09178852</v>
      </c>
      <c r="AF10" s="13">
        <f t="shared" si="4"/>
        <v>106541132.96287978</v>
      </c>
      <c r="AG10" s="13">
        <f>AF10*AF35</f>
        <v>106636856.21503364</v>
      </c>
      <c r="AH10" s="13">
        <f t="shared" si="0"/>
        <v>106636856.21503364</v>
      </c>
      <c r="AI10" s="9">
        <f>Y10</f>
        <v>102159370.875</v>
      </c>
      <c r="AJ10" s="9">
        <f t="shared" si="1"/>
        <v>106636856.21503364</v>
      </c>
      <c r="AK10" s="9">
        <f t="shared" si="2"/>
        <v>4477485.3400336355</v>
      </c>
    </row>
    <row r="11" spans="1:37" ht="15" customHeight="1" x14ac:dyDescent="0.35">
      <c r="A11" s="6">
        <v>2002</v>
      </c>
      <c r="B11" s="7">
        <v>8982265.8041666709</v>
      </c>
      <c r="C11" s="7">
        <v>35007210.479166701</v>
      </c>
      <c r="D11" s="7">
        <v>57605111.595833302</v>
      </c>
      <c r="E11" s="7">
        <v>76035714.741666704</v>
      </c>
      <c r="F11" s="7">
        <v>90555900.654166594</v>
      </c>
      <c r="G11" s="7">
        <v>94498666.333333299</v>
      </c>
      <c r="H11" s="7">
        <v>96047437.424999997</v>
      </c>
      <c r="I11" s="7">
        <v>97300987.720833302</v>
      </c>
      <c r="J11" s="7">
        <v>98691947.487499997</v>
      </c>
      <c r="K11" s="7">
        <v>99076222.037499994</v>
      </c>
      <c r="L11" s="7">
        <v>99280409.962500006</v>
      </c>
      <c r="M11" s="7">
        <v>99425110.795833305</v>
      </c>
      <c r="N11" s="7">
        <v>99225358.829166695</v>
      </c>
      <c r="O11" s="7">
        <v>99319687.091666698</v>
      </c>
      <c r="P11" s="7">
        <v>99465985.091666594</v>
      </c>
      <c r="Q11" s="7">
        <v>99530484.849999994</v>
      </c>
      <c r="R11" s="7">
        <v>99479021.479166597</v>
      </c>
      <c r="S11" s="7">
        <v>99818143.791666597</v>
      </c>
      <c r="T11" s="7">
        <v>99915557.083333299</v>
      </c>
      <c r="U11" s="7">
        <v>100246280.5125</v>
      </c>
      <c r="V11" s="7">
        <v>100492584.470833</v>
      </c>
      <c r="W11" s="7">
        <v>100345832.43333299</v>
      </c>
      <c r="X11" s="8">
        <v>100330450.01666699</v>
      </c>
      <c r="Y11" s="13">
        <f t="shared" ref="Y11:Y33" si="11">X$36+X$35*X11</f>
        <v>100373533.57512587</v>
      </c>
      <c r="Z11" s="13">
        <f t="shared" si="10"/>
        <v>100457970.275314</v>
      </c>
      <c r="AA11" s="13">
        <f t="shared" si="9"/>
        <v>100542247.87588856</v>
      </c>
      <c r="AB11" s="13">
        <f t="shared" si="7"/>
        <v>100851130.73764972</v>
      </c>
      <c r="AC11" s="13">
        <f t="shared" si="8"/>
        <v>101049126.58780618</v>
      </c>
      <c r="AD11" s="13">
        <f t="shared" si="5"/>
        <v>100825156.64763872</v>
      </c>
      <c r="AE11" s="13">
        <f t="shared" si="3"/>
        <v>104842890.73766522</v>
      </c>
      <c r="AF11" s="13">
        <f t="shared" si="4"/>
        <v>104599458.52871393</v>
      </c>
      <c r="AG11" s="13">
        <f>AF11*AF35</f>
        <v>104693437.25848198</v>
      </c>
      <c r="AH11" s="13">
        <f t="shared" si="0"/>
        <v>104693437.25848198</v>
      </c>
      <c r="AI11" s="9">
        <f>X11</f>
        <v>100330450.01666699</v>
      </c>
      <c r="AJ11" s="9">
        <f t="shared" si="1"/>
        <v>104693437.25848198</v>
      </c>
      <c r="AK11" s="9">
        <f t="shared" si="2"/>
        <v>4362987.2418149859</v>
      </c>
    </row>
    <row r="12" spans="1:37" ht="15" customHeight="1" x14ac:dyDescent="0.35">
      <c r="A12" s="6">
        <v>2003</v>
      </c>
      <c r="B12" s="7">
        <v>9310300.7583333403</v>
      </c>
      <c r="C12" s="7">
        <v>36988681.545833297</v>
      </c>
      <c r="D12" s="7">
        <v>66979925.502499998</v>
      </c>
      <c r="E12" s="7">
        <v>95586684.924999997</v>
      </c>
      <c r="F12" s="7">
        <v>103075004.375</v>
      </c>
      <c r="G12" s="7">
        <v>107215759.3625</v>
      </c>
      <c r="H12" s="7">
        <v>109377964.595833</v>
      </c>
      <c r="I12" s="7">
        <v>111170746.18333299</v>
      </c>
      <c r="J12" s="7">
        <v>112023966.05833299</v>
      </c>
      <c r="K12" s="7">
        <v>112562589.26666699</v>
      </c>
      <c r="L12" s="7">
        <v>112567923.908333</v>
      </c>
      <c r="M12" s="7">
        <v>112547369.56666701</v>
      </c>
      <c r="N12" s="7">
        <v>112331076.87916701</v>
      </c>
      <c r="O12" s="7">
        <v>112621478.16249999</v>
      </c>
      <c r="P12" s="7">
        <v>112743380.09999999</v>
      </c>
      <c r="Q12" s="7">
        <v>113044356.0625</v>
      </c>
      <c r="R12" s="7">
        <v>113462540.116667</v>
      </c>
      <c r="S12" s="7">
        <v>113519101.029167</v>
      </c>
      <c r="T12" s="7">
        <v>114164451.425</v>
      </c>
      <c r="U12" s="7">
        <v>114122589.84999999</v>
      </c>
      <c r="V12" s="7">
        <v>114375378.583333</v>
      </c>
      <c r="W12" s="8">
        <v>114348859.95</v>
      </c>
      <c r="X12" s="13">
        <f t="shared" ref="X12:X33" si="12">W$36+W$35*W12</f>
        <v>114411363.58145477</v>
      </c>
      <c r="Y12" s="13">
        <f t="shared" si="11"/>
        <v>114455033.68322586</v>
      </c>
      <c r="Z12" s="13">
        <f t="shared" si="10"/>
        <v>114537062.16452956</v>
      </c>
      <c r="AA12" s="13">
        <f t="shared" si="9"/>
        <v>114573671.56709576</v>
      </c>
      <c r="AB12" s="13">
        <f t="shared" si="7"/>
        <v>114983694.62946625</v>
      </c>
      <c r="AC12" s="13">
        <f t="shared" si="8"/>
        <v>115127793.92095944</v>
      </c>
      <c r="AD12" s="13">
        <f t="shared" si="5"/>
        <v>114689028.39238095</v>
      </c>
      <c r="AE12" s="13">
        <f t="shared" si="3"/>
        <v>120276409.40877506</v>
      </c>
      <c r="AF12" s="13">
        <f t="shared" si="4"/>
        <v>119909749.53704305</v>
      </c>
      <c r="AG12" s="13">
        <f>AF12*AF35</f>
        <v>120017483.99481945</v>
      </c>
      <c r="AH12" s="13">
        <f t="shared" si="0"/>
        <v>120017483.99481945</v>
      </c>
      <c r="AI12" s="9">
        <f>W12</f>
        <v>114348859.95</v>
      </c>
      <c r="AJ12" s="9">
        <f t="shared" si="1"/>
        <v>120017483.99481945</v>
      </c>
      <c r="AK12" s="9">
        <f t="shared" si="2"/>
        <v>5668624.0448194444</v>
      </c>
    </row>
    <row r="13" spans="1:37" ht="15" customHeight="1" x14ac:dyDescent="0.35">
      <c r="A13" s="6">
        <v>2004</v>
      </c>
      <c r="B13" s="7">
        <v>9772040.875</v>
      </c>
      <c r="C13" s="7">
        <v>34200572.822499998</v>
      </c>
      <c r="D13" s="7">
        <v>63386739.5666667</v>
      </c>
      <c r="E13" s="7">
        <v>75725913.041666701</v>
      </c>
      <c r="F13" s="7">
        <v>82021303.583333299</v>
      </c>
      <c r="G13" s="7">
        <v>85521135.9375</v>
      </c>
      <c r="H13" s="7">
        <v>87286666.208333299</v>
      </c>
      <c r="I13" s="7">
        <v>89509598.724999994</v>
      </c>
      <c r="J13" s="7">
        <v>90355039.870833293</v>
      </c>
      <c r="K13" s="7">
        <v>91416543.854166701</v>
      </c>
      <c r="L13" s="7">
        <v>91373947.462500006</v>
      </c>
      <c r="M13" s="7">
        <v>91478738.329166695</v>
      </c>
      <c r="N13" s="7">
        <v>91901838.933333293</v>
      </c>
      <c r="O13" s="7">
        <v>92891572.245833293</v>
      </c>
      <c r="P13" s="7">
        <v>92666679.441666707</v>
      </c>
      <c r="Q13" s="7">
        <v>92627650.379166707</v>
      </c>
      <c r="R13" s="7">
        <v>92802918.558333293</v>
      </c>
      <c r="S13" s="7">
        <v>92746349.558333293</v>
      </c>
      <c r="T13" s="7">
        <v>92504672.266666695</v>
      </c>
      <c r="U13" s="7">
        <v>92441944.762500003</v>
      </c>
      <c r="V13" s="8">
        <v>93024656.141666695</v>
      </c>
      <c r="W13" s="13">
        <f t="shared" ref="W13:W33" si="13">V$36+V$35*V13</f>
        <v>93068557.457018867</v>
      </c>
      <c r="X13" s="13">
        <f t="shared" si="12"/>
        <v>93144764.537381858</v>
      </c>
      <c r="Y13" s="13">
        <f t="shared" si="11"/>
        <v>93187548.774653792</v>
      </c>
      <c r="Z13" s="13">
        <f t="shared" si="10"/>
        <v>93273214.422338054</v>
      </c>
      <c r="AA13" s="13">
        <f t="shared" si="9"/>
        <v>93381817.765463069</v>
      </c>
      <c r="AB13" s="13">
        <f t="shared" si="7"/>
        <v>93639087.380147159</v>
      </c>
      <c r="AC13" s="13">
        <f t="shared" si="8"/>
        <v>93864587.391676962</v>
      </c>
      <c r="AD13" s="13">
        <f t="shared" si="5"/>
        <v>93750230.619260177</v>
      </c>
      <c r="AE13" s="13">
        <f t="shared" si="3"/>
        <v>96966952.113441333</v>
      </c>
      <c r="AF13" s="13">
        <f t="shared" si="4"/>
        <v>96786404.689842597</v>
      </c>
      <c r="AG13" s="13">
        <f>AF13*AF35</f>
        <v>96873363.680830792</v>
      </c>
      <c r="AH13" s="13">
        <f t="shared" si="0"/>
        <v>96873363.680830792</v>
      </c>
      <c r="AI13" s="9">
        <f>V13</f>
        <v>93024656.141666695</v>
      </c>
      <c r="AJ13" s="9">
        <f t="shared" si="1"/>
        <v>96873363.680830792</v>
      </c>
      <c r="AK13" s="9">
        <f t="shared" si="2"/>
        <v>3848707.5391640961</v>
      </c>
    </row>
    <row r="14" spans="1:37" ht="15" customHeight="1" x14ac:dyDescent="0.35">
      <c r="A14" s="6">
        <v>2005</v>
      </c>
      <c r="B14" s="7">
        <v>7680670.4824999999</v>
      </c>
      <c r="C14" s="7">
        <v>36126608.304166697</v>
      </c>
      <c r="D14" s="7">
        <v>56190576.4291666</v>
      </c>
      <c r="E14" s="7">
        <v>68652534.920833305</v>
      </c>
      <c r="F14" s="7">
        <v>74350004.133333296</v>
      </c>
      <c r="G14" s="7">
        <v>77341458.912499994</v>
      </c>
      <c r="H14" s="7">
        <v>78628271.6875</v>
      </c>
      <c r="I14" s="7">
        <v>79360494.1791666</v>
      </c>
      <c r="J14" s="7">
        <v>80258372.091666698</v>
      </c>
      <c r="K14" s="7">
        <v>82215767.979166597</v>
      </c>
      <c r="L14" s="7">
        <v>82955499.395833299</v>
      </c>
      <c r="M14" s="7">
        <v>82523209.095833302</v>
      </c>
      <c r="N14" s="7">
        <v>82528416.445833296</v>
      </c>
      <c r="O14" s="7">
        <v>82612047.287499994</v>
      </c>
      <c r="P14" s="7">
        <v>82529199.733333305</v>
      </c>
      <c r="Q14" s="7">
        <v>82659400.091666698</v>
      </c>
      <c r="R14" s="7">
        <v>83055292.354166701</v>
      </c>
      <c r="S14" s="7">
        <v>83261828.287499994</v>
      </c>
      <c r="T14" s="7">
        <v>83309818.758333296</v>
      </c>
      <c r="U14" s="8">
        <v>83186246.070833296</v>
      </c>
      <c r="V14" s="13">
        <f t="shared" ref="V14:V33" si="14">U$36+U$35*U14</f>
        <v>83287892.32037273</v>
      </c>
      <c r="W14" s="13">
        <f t="shared" si="13"/>
        <v>83340126.743253931</v>
      </c>
      <c r="X14" s="13">
        <f t="shared" si="12"/>
        <v>83422598.445714623</v>
      </c>
      <c r="Y14" s="13">
        <f t="shared" si="11"/>
        <v>83464977.704184934</v>
      </c>
      <c r="Z14" s="13">
        <f t="shared" si="10"/>
        <v>83552306.106481791</v>
      </c>
      <c r="AA14" s="13">
        <f t="shared" si="9"/>
        <v>83693821.954622582</v>
      </c>
      <c r="AB14" s="13">
        <f t="shared" si="7"/>
        <v>83881259.322674081</v>
      </c>
      <c r="AC14" s="13">
        <f t="shared" si="8"/>
        <v>84143972.21053344</v>
      </c>
      <c r="AD14" s="13">
        <f t="shared" si="5"/>
        <v>84177921.041775182</v>
      </c>
      <c r="AE14" s="13">
        <f t="shared" si="3"/>
        <v>86310879.891351894</v>
      </c>
      <c r="AF14" s="13">
        <f t="shared" si="4"/>
        <v>86215415.001576662</v>
      </c>
      <c r="AG14" s="13">
        <f>AF14*AF35</f>
        <v>86292876.350824937</v>
      </c>
      <c r="AH14" s="13">
        <f t="shared" si="0"/>
        <v>86292876.350824937</v>
      </c>
      <c r="AI14" s="9">
        <f>U14</f>
        <v>83186246.070833296</v>
      </c>
      <c r="AJ14" s="9">
        <f t="shared" si="1"/>
        <v>86292876.350824937</v>
      </c>
      <c r="AK14" s="9">
        <f t="shared" si="2"/>
        <v>3106630.2799916416</v>
      </c>
    </row>
    <row r="15" spans="1:37" ht="15" customHeight="1" x14ac:dyDescent="0.35">
      <c r="A15" s="6">
        <v>2006</v>
      </c>
      <c r="B15" s="7">
        <v>9666714.6750000007</v>
      </c>
      <c r="C15" s="7">
        <v>30446319.024999999</v>
      </c>
      <c r="D15" s="7">
        <v>47280180.6875</v>
      </c>
      <c r="E15" s="7">
        <v>55664730.6208333</v>
      </c>
      <c r="F15" s="7">
        <v>60965353.666666701</v>
      </c>
      <c r="G15" s="7">
        <v>63387761.966666698</v>
      </c>
      <c r="H15" s="7">
        <v>65346131.825000003</v>
      </c>
      <c r="I15" s="7">
        <v>66852171.987499997</v>
      </c>
      <c r="J15" s="7">
        <v>67479097.341666698</v>
      </c>
      <c r="K15" s="7">
        <v>67749406.904166698</v>
      </c>
      <c r="L15" s="7">
        <v>67982754.049999997</v>
      </c>
      <c r="M15" s="7">
        <v>68308232.116666704</v>
      </c>
      <c r="N15" s="7">
        <v>68801969.508333296</v>
      </c>
      <c r="O15" s="7">
        <v>69198314.354166701</v>
      </c>
      <c r="P15" s="7">
        <v>69144585.279166698</v>
      </c>
      <c r="Q15" s="7">
        <v>70071536.204166695</v>
      </c>
      <c r="R15" s="7">
        <v>70213231.700000003</v>
      </c>
      <c r="S15" s="7">
        <v>70254387.358333305</v>
      </c>
      <c r="T15" s="8">
        <v>70580025.658333302</v>
      </c>
      <c r="U15" s="13">
        <f t="shared" ref="U15:U33" si="15">T$36+T$35*T15</f>
        <v>70553213.75528051</v>
      </c>
      <c r="V15" s="13">
        <f t="shared" si="14"/>
        <v>70617277.141628265</v>
      </c>
      <c r="W15" s="13">
        <f t="shared" si="13"/>
        <v>70680355.578052506</v>
      </c>
      <c r="X15" s="13">
        <f t="shared" si="12"/>
        <v>70770979.53903535</v>
      </c>
      <c r="Y15" s="13">
        <f t="shared" si="11"/>
        <v>70812831.791752517</v>
      </c>
      <c r="Z15" s="13">
        <f t="shared" si="10"/>
        <v>70902323.964704543</v>
      </c>
      <c r="AA15" s="13">
        <f t="shared" si="9"/>
        <v>71086669.411393389</v>
      </c>
      <c r="AB15" s="13">
        <f t="shared" si="7"/>
        <v>71183232.897692353</v>
      </c>
      <c r="AC15" s="13">
        <f t="shared" si="8"/>
        <v>71494371.529907838</v>
      </c>
      <c r="AD15" s="13">
        <f t="shared" si="5"/>
        <v>71721312.947526097</v>
      </c>
      <c r="AE15" s="13">
        <f t="shared" si="3"/>
        <v>72443953.166917905</v>
      </c>
      <c r="AF15" s="13">
        <f t="shared" si="4"/>
        <v>72459207.615137979</v>
      </c>
      <c r="AG15" s="13">
        <f>AF15*AF35</f>
        <v>72524309.522809908</v>
      </c>
      <c r="AH15" s="13">
        <f t="shared" si="0"/>
        <v>72524309.522809908</v>
      </c>
      <c r="AI15" s="9">
        <f>T15</f>
        <v>70580025.658333302</v>
      </c>
      <c r="AJ15" s="9">
        <f t="shared" si="1"/>
        <v>72524309.522809908</v>
      </c>
      <c r="AK15" s="9">
        <f t="shared" si="2"/>
        <v>1944283.8644766062</v>
      </c>
    </row>
    <row r="16" spans="1:37" ht="15" customHeight="1" x14ac:dyDescent="0.35">
      <c r="A16" s="6">
        <v>2007</v>
      </c>
      <c r="B16" s="7">
        <v>7688889.9833333297</v>
      </c>
      <c r="C16" s="7">
        <v>28397884.445833299</v>
      </c>
      <c r="D16" s="7">
        <v>46001559.337499999</v>
      </c>
      <c r="E16" s="7">
        <v>56845003.358333297</v>
      </c>
      <c r="F16" s="7">
        <v>61061280.237499997</v>
      </c>
      <c r="G16" s="7">
        <v>64603390.6916667</v>
      </c>
      <c r="H16" s="7">
        <v>66259497.625</v>
      </c>
      <c r="I16" s="7">
        <v>67034062.887500003</v>
      </c>
      <c r="J16" s="7">
        <v>67466261.983333305</v>
      </c>
      <c r="K16" s="7">
        <v>67932431.445833296</v>
      </c>
      <c r="L16" s="7">
        <v>69482146.362499997</v>
      </c>
      <c r="M16" s="7">
        <v>69334631.520833299</v>
      </c>
      <c r="N16" s="7">
        <v>69184023.070833296</v>
      </c>
      <c r="O16" s="7">
        <v>68634356.916666701</v>
      </c>
      <c r="P16" s="7">
        <v>68932655.674999997</v>
      </c>
      <c r="Q16" s="7">
        <v>69180075.049999997</v>
      </c>
      <c r="R16" s="7">
        <v>69050502.924999997</v>
      </c>
      <c r="S16" s="8">
        <v>69046402.245833293</v>
      </c>
      <c r="T16" s="13">
        <f t="shared" ref="T16:T33" si="16">S$36+S$35*S16</f>
        <v>69035347.705997005</v>
      </c>
      <c r="U16" s="13">
        <f t="shared" si="15"/>
        <v>69005382.245471746</v>
      </c>
      <c r="V16" s="13">
        <f t="shared" si="14"/>
        <v>69064840.883060545</v>
      </c>
      <c r="W16" s="13">
        <f t="shared" si="13"/>
        <v>69129247.955827624</v>
      </c>
      <c r="X16" s="13">
        <f t="shared" si="12"/>
        <v>69220870.752426609</v>
      </c>
      <c r="Y16" s="13">
        <f t="shared" si="11"/>
        <v>69262658.435047686</v>
      </c>
      <c r="Z16" s="13">
        <f t="shared" si="10"/>
        <v>69352415.7187282</v>
      </c>
      <c r="AA16" s="13">
        <f t="shared" si="9"/>
        <v>69542008.757644266</v>
      </c>
      <c r="AB16" s="13">
        <f t="shared" si="7"/>
        <v>69627438.142954499</v>
      </c>
      <c r="AC16" s="13">
        <f t="shared" si="8"/>
        <v>69944510.021529853</v>
      </c>
      <c r="AD16" s="13">
        <f t="shared" si="5"/>
        <v>70195097.385654971</v>
      </c>
      <c r="AE16" s="13">
        <f t="shared" si="3"/>
        <v>70744941.750485152</v>
      </c>
      <c r="AF16" s="13">
        <f t="shared" si="4"/>
        <v>70773761.815875635</v>
      </c>
      <c r="AG16" s="13">
        <f>AF16*AF35</f>
        <v>70837349.413076594</v>
      </c>
      <c r="AH16" s="13">
        <f t="shared" si="0"/>
        <v>70837349.413076594</v>
      </c>
      <c r="AI16" s="9">
        <f>S16</f>
        <v>69046402.245833293</v>
      </c>
      <c r="AJ16" s="9">
        <f t="shared" si="1"/>
        <v>70837349.413076594</v>
      </c>
      <c r="AK16" s="9">
        <f t="shared" si="2"/>
        <v>1790947.1672433019</v>
      </c>
    </row>
    <row r="17" spans="1:37" ht="15" customHeight="1" x14ac:dyDescent="0.35">
      <c r="A17" s="6">
        <v>2008</v>
      </c>
      <c r="B17" s="7">
        <v>7564842.99166667</v>
      </c>
      <c r="C17" s="7">
        <v>30965309.8125</v>
      </c>
      <c r="D17" s="7">
        <v>48594721.220833302</v>
      </c>
      <c r="E17" s="7">
        <v>57590859.3791667</v>
      </c>
      <c r="F17" s="7">
        <v>62427811.987499997</v>
      </c>
      <c r="G17" s="7">
        <v>65902160.733333297</v>
      </c>
      <c r="H17" s="7">
        <v>66730187.4333333</v>
      </c>
      <c r="I17" s="7">
        <v>67255612.549999997</v>
      </c>
      <c r="J17" s="7">
        <v>67925332.700000003</v>
      </c>
      <c r="K17" s="7">
        <v>68817419.579166695</v>
      </c>
      <c r="L17" s="7">
        <v>68434374.424999997</v>
      </c>
      <c r="M17" s="7">
        <v>68320391.025000006</v>
      </c>
      <c r="N17" s="7">
        <v>68239587.404166698</v>
      </c>
      <c r="O17" s="7">
        <v>68779426.833333299</v>
      </c>
      <c r="P17" s="7">
        <v>68804065.75</v>
      </c>
      <c r="Q17" s="7">
        <v>68796085.329166695</v>
      </c>
      <c r="R17" s="8">
        <v>69243020</v>
      </c>
      <c r="S17" s="13">
        <f t="shared" ref="S17:S33" si="17">R$36+R$35*R17</f>
        <v>69343451.125252828</v>
      </c>
      <c r="T17" s="13">
        <f t="shared" si="16"/>
        <v>69333475.823069185</v>
      </c>
      <c r="U17" s="13">
        <f t="shared" si="15"/>
        <v>69304119.009899795</v>
      </c>
      <c r="V17" s="13">
        <f t="shared" si="14"/>
        <v>69364466.379715934</v>
      </c>
      <c r="W17" s="13">
        <f t="shared" si="13"/>
        <v>69428617.021133959</v>
      </c>
      <c r="X17" s="13">
        <f t="shared" si="12"/>
        <v>69520047.039049819</v>
      </c>
      <c r="Y17" s="13">
        <f t="shared" si="11"/>
        <v>69561847.183919832</v>
      </c>
      <c r="Z17" s="13">
        <f t="shared" si="10"/>
        <v>69651553.300324872</v>
      </c>
      <c r="AA17" s="13">
        <f t="shared" si="9"/>
        <v>69840133.536030084</v>
      </c>
      <c r="AB17" s="13">
        <f t="shared" si="7"/>
        <v>69927711.840833887</v>
      </c>
      <c r="AC17" s="13">
        <f t="shared" si="8"/>
        <v>70243638.582610533</v>
      </c>
      <c r="AD17" s="13">
        <f t="shared" si="5"/>
        <v>70489662.198351845</v>
      </c>
      <c r="AE17" s="13">
        <f t="shared" si="3"/>
        <v>71072856.752896607</v>
      </c>
      <c r="AF17" s="13">
        <f t="shared" si="4"/>
        <v>71099058.607871249</v>
      </c>
      <c r="AG17" s="13">
        <f>AF17*AF35</f>
        <v>71162938.472161725</v>
      </c>
      <c r="AH17" s="13">
        <f t="shared" si="0"/>
        <v>71162938.472161725</v>
      </c>
      <c r="AI17" s="9">
        <f>R17</f>
        <v>69243020</v>
      </c>
      <c r="AJ17" s="9">
        <f t="shared" si="1"/>
        <v>71162938.472161725</v>
      </c>
      <c r="AK17" s="9">
        <f t="shared" si="2"/>
        <v>1919918.4721617252</v>
      </c>
    </row>
    <row r="18" spans="1:37" ht="15" customHeight="1" x14ac:dyDescent="0.35">
      <c r="A18" s="6">
        <v>2009</v>
      </c>
      <c r="B18" s="7">
        <v>9998209.0208333302</v>
      </c>
      <c r="C18" s="7">
        <v>38410120.358333297</v>
      </c>
      <c r="D18" s="7">
        <v>59933367.9416667</v>
      </c>
      <c r="E18" s="7">
        <v>73220790.720833406</v>
      </c>
      <c r="F18" s="7">
        <v>80634376.429166704</v>
      </c>
      <c r="G18" s="7">
        <v>82350175.049999997</v>
      </c>
      <c r="H18" s="7">
        <v>83892584.487499997</v>
      </c>
      <c r="I18" s="7">
        <v>85289823.0708334</v>
      </c>
      <c r="J18" s="7">
        <v>86101993.1875</v>
      </c>
      <c r="K18" s="7">
        <v>87117985.445833296</v>
      </c>
      <c r="L18" s="7">
        <v>87322858.6333334</v>
      </c>
      <c r="M18" s="7">
        <v>87475268.891666695</v>
      </c>
      <c r="N18" s="7">
        <v>88179337.841666698</v>
      </c>
      <c r="O18" s="7">
        <v>88912903.716666698</v>
      </c>
      <c r="P18" s="7">
        <v>89065202.1875</v>
      </c>
      <c r="Q18" s="8">
        <v>89516484.079166695</v>
      </c>
      <c r="R18" s="13">
        <f t="shared" ref="R18:R33" si="18">Q$36+Q$35*Q18</f>
        <v>89653439.993212759</v>
      </c>
      <c r="S18" s="13">
        <f t="shared" si="17"/>
        <v>89731336.123854071</v>
      </c>
      <c r="T18" s="13">
        <f t="shared" si="16"/>
        <v>89795434.062382266</v>
      </c>
      <c r="U18" s="13">
        <f t="shared" si="15"/>
        <v>89807851.627625629</v>
      </c>
      <c r="V18" s="13">
        <f t="shared" si="14"/>
        <v>89929196.939870998</v>
      </c>
      <c r="W18" s="13">
        <f t="shared" si="13"/>
        <v>89975747.47162132</v>
      </c>
      <c r="X18" s="13">
        <f t="shared" si="12"/>
        <v>90053946.16670087</v>
      </c>
      <c r="Y18" s="13">
        <f t="shared" si="11"/>
        <v>90096601.655306309</v>
      </c>
      <c r="Z18" s="13">
        <f t="shared" si="10"/>
        <v>90182795.916928455</v>
      </c>
      <c r="AA18" s="13">
        <f t="shared" si="9"/>
        <v>90301862.625333264</v>
      </c>
      <c r="AB18" s="13">
        <f t="shared" si="7"/>
        <v>90536931.550508156</v>
      </c>
      <c r="AC18" s="13">
        <f t="shared" si="8"/>
        <v>90774262.078067094</v>
      </c>
      <c r="AD18" s="13">
        <f t="shared" si="5"/>
        <v>90707053.819668755</v>
      </c>
      <c r="AE18" s="13">
        <f t="shared" si="3"/>
        <v>93579231.365534514</v>
      </c>
      <c r="AF18" s="13">
        <f t="shared" si="4"/>
        <v>93425732.920125023</v>
      </c>
      <c r="AG18" s="13">
        <f>AF18*AF35</f>
        <v>93509672.47230801</v>
      </c>
      <c r="AH18" s="13">
        <f t="shared" si="0"/>
        <v>93509672.47230801</v>
      </c>
      <c r="AI18" s="9">
        <f>Q18</f>
        <v>89516484.079166695</v>
      </c>
      <c r="AJ18" s="9">
        <f t="shared" si="1"/>
        <v>93509672.47230801</v>
      </c>
      <c r="AK18" s="9">
        <f t="shared" si="2"/>
        <v>3993188.3931413144</v>
      </c>
    </row>
    <row r="19" spans="1:37" ht="15" customHeight="1" x14ac:dyDescent="0.35">
      <c r="A19" s="6">
        <v>2010</v>
      </c>
      <c r="B19" s="7">
        <v>9194446.9375</v>
      </c>
      <c r="C19" s="7">
        <v>35466950.583333299</v>
      </c>
      <c r="D19" s="7">
        <v>60055288.395833299</v>
      </c>
      <c r="E19" s="7">
        <v>77176217.766666695</v>
      </c>
      <c r="F19" s="7">
        <v>81335916.991666704</v>
      </c>
      <c r="G19" s="7">
        <v>83839373.295833305</v>
      </c>
      <c r="H19" s="7">
        <v>86091169.666666701</v>
      </c>
      <c r="I19" s="7">
        <v>88553372.520833299</v>
      </c>
      <c r="J19" s="7">
        <v>88769034.875</v>
      </c>
      <c r="K19" s="7">
        <v>89586671.404166698</v>
      </c>
      <c r="L19" s="7">
        <v>90482502.049999997</v>
      </c>
      <c r="M19" s="7">
        <v>90826921.545833305</v>
      </c>
      <c r="N19" s="7">
        <v>91494715.758333296</v>
      </c>
      <c r="O19" s="7">
        <v>91742729.9375</v>
      </c>
      <c r="P19" s="8">
        <v>92073613.849999994</v>
      </c>
      <c r="Q19" s="13">
        <f t="shared" ref="Q19:Q33" si="19">P$36+P$35*P19</f>
        <v>92255309.574634701</v>
      </c>
      <c r="R19" s="13">
        <f t="shared" si="18"/>
        <v>92400205.780176893</v>
      </c>
      <c r="S19" s="13">
        <f t="shared" si="17"/>
        <v>92475069.226913184</v>
      </c>
      <c r="T19" s="13">
        <f t="shared" si="16"/>
        <v>92549135.693447396</v>
      </c>
      <c r="U19" s="13">
        <f t="shared" si="15"/>
        <v>92567175.114264235</v>
      </c>
      <c r="V19" s="13">
        <f t="shared" si="14"/>
        <v>92696729.324778005</v>
      </c>
      <c r="W19" s="13">
        <f t="shared" si="13"/>
        <v>92740911.292868286</v>
      </c>
      <c r="X19" s="13">
        <f t="shared" si="12"/>
        <v>92817329.36094971</v>
      </c>
      <c r="Y19" s="13">
        <f t="shared" si="11"/>
        <v>92860099.958842918</v>
      </c>
      <c r="Z19" s="13">
        <f t="shared" si="10"/>
        <v>92945821.606840774</v>
      </c>
      <c r="AA19" s="13">
        <f t="shared" si="9"/>
        <v>93055533.418159515</v>
      </c>
      <c r="AB19" s="13">
        <f t="shared" si="7"/>
        <v>93310451.135768279</v>
      </c>
      <c r="AC19" s="13">
        <f t="shared" si="8"/>
        <v>93537204.448734373</v>
      </c>
      <c r="AD19" s="13">
        <f t="shared" si="5"/>
        <v>93427842.49650909</v>
      </c>
      <c r="AE19" s="13">
        <f t="shared" si="3"/>
        <v>96608063.687218711</v>
      </c>
      <c r="AF19" s="13">
        <f t="shared" si="4"/>
        <v>96430381.778795406</v>
      </c>
      <c r="AG19" s="13">
        <f>AF19*AF$35</f>
        <v>96517020.896416947</v>
      </c>
      <c r="AH19" s="13">
        <f t="shared" si="0"/>
        <v>96517020.896416947</v>
      </c>
      <c r="AI19" s="9">
        <f>P19</f>
        <v>92073613.849999994</v>
      </c>
      <c r="AJ19" s="9">
        <f t="shared" si="1"/>
        <v>96517020.896416947</v>
      </c>
      <c r="AK19" s="9">
        <f t="shared" si="2"/>
        <v>4443407.0464169532</v>
      </c>
    </row>
    <row r="20" spans="1:37" ht="15" customHeight="1" x14ac:dyDescent="0.35">
      <c r="A20" s="6">
        <v>2011</v>
      </c>
      <c r="B20" s="7">
        <v>10541903.025</v>
      </c>
      <c r="C20" s="7">
        <v>38254776.295833401</v>
      </c>
      <c r="D20" s="7">
        <v>59941538.9500001</v>
      </c>
      <c r="E20" s="7">
        <v>66223453.666666701</v>
      </c>
      <c r="F20" s="7">
        <v>70226754.704166695</v>
      </c>
      <c r="G20" s="7">
        <v>73878794.6958334</v>
      </c>
      <c r="H20" s="7">
        <v>77139407.583333403</v>
      </c>
      <c r="I20" s="7">
        <v>79420852.333333403</v>
      </c>
      <c r="J20" s="7">
        <v>80204648.487500101</v>
      </c>
      <c r="K20" s="7">
        <v>80554305.404166698</v>
      </c>
      <c r="L20" s="7">
        <v>80861186.754166707</v>
      </c>
      <c r="M20" s="7">
        <v>81282072.041666701</v>
      </c>
      <c r="N20" s="7">
        <v>82008445.775000095</v>
      </c>
      <c r="O20" s="8">
        <v>82475428.545833394</v>
      </c>
      <c r="P20" s="13">
        <f t="shared" ref="P20:P33" si="20">O$36+O$35*O20</f>
        <v>82594486.968249828</v>
      </c>
      <c r="Q20" s="13">
        <f t="shared" si="19"/>
        <v>82807051.954392597</v>
      </c>
      <c r="R20" s="13">
        <f t="shared" si="18"/>
        <v>82924556.155676275</v>
      </c>
      <c r="S20" s="13">
        <f t="shared" si="17"/>
        <v>83009881.59747684</v>
      </c>
      <c r="T20" s="13">
        <f t="shared" si="16"/>
        <v>83049559.155023873</v>
      </c>
      <c r="U20" s="13">
        <f t="shared" si="15"/>
        <v>83048204.591138184</v>
      </c>
      <c r="V20" s="13">
        <f t="shared" si="14"/>
        <v>83149440.171733171</v>
      </c>
      <c r="W20" s="13">
        <f t="shared" si="13"/>
        <v>83201793.087438419</v>
      </c>
      <c r="X20" s="13">
        <f t="shared" si="12"/>
        <v>83284353.869844541</v>
      </c>
      <c r="Y20" s="13">
        <f t="shared" si="11"/>
        <v>83326727.369709</v>
      </c>
      <c r="Z20" s="13">
        <f t="shared" si="10"/>
        <v>83414079.415585279</v>
      </c>
      <c r="AA20" s="13">
        <f t="shared" si="9"/>
        <v>83556063.263887122</v>
      </c>
      <c r="AB20" s="13">
        <f t="shared" si="7"/>
        <v>83742507.650618747</v>
      </c>
      <c r="AC20" s="13">
        <f t="shared" si="8"/>
        <v>84005749.687873065</v>
      </c>
      <c r="AD20" s="13">
        <f t="shared" si="5"/>
        <v>84041807.354232788</v>
      </c>
      <c r="AE20" s="13">
        <f t="shared" si="3"/>
        <v>86159355.614673868</v>
      </c>
      <c r="AF20" s="13">
        <f t="shared" si="4"/>
        <v>86065100.558046058</v>
      </c>
      <c r="AG20" s="13">
        <f t="shared" ref="AG20:AG33" si="21">AF20*AF$35</f>
        <v>86142426.855347916</v>
      </c>
      <c r="AH20" s="13">
        <f t="shared" si="0"/>
        <v>86142426.855347916</v>
      </c>
      <c r="AI20" s="9">
        <f>O20</f>
        <v>82475428.545833394</v>
      </c>
      <c r="AJ20" s="9">
        <f t="shared" si="1"/>
        <v>86142426.855347916</v>
      </c>
      <c r="AK20" s="9">
        <f t="shared" si="2"/>
        <v>3666998.3095145226</v>
      </c>
    </row>
    <row r="21" spans="1:37" ht="15" customHeight="1" x14ac:dyDescent="0.35">
      <c r="A21" s="6">
        <v>2012</v>
      </c>
      <c r="B21" s="7">
        <v>9955042.0458333399</v>
      </c>
      <c r="C21" s="7">
        <v>34277823.533333398</v>
      </c>
      <c r="D21" s="7">
        <v>46656444.3833334</v>
      </c>
      <c r="E21" s="7">
        <v>76363693.618100002</v>
      </c>
      <c r="F21" s="7">
        <v>86796043.555600002</v>
      </c>
      <c r="G21" s="7">
        <v>91707825.722266704</v>
      </c>
      <c r="H21" s="7">
        <v>93491675.613933399</v>
      </c>
      <c r="I21" s="7">
        <v>94455330.138933405</v>
      </c>
      <c r="J21" s="7">
        <v>95281567.180600002</v>
      </c>
      <c r="K21" s="7">
        <v>95331792.743100002</v>
      </c>
      <c r="L21" s="7">
        <v>95615019.972266704</v>
      </c>
      <c r="M21" s="7">
        <v>97790025.343099996</v>
      </c>
      <c r="N21" s="8">
        <v>98147822.759766698</v>
      </c>
      <c r="O21" s="13">
        <f t="shared" ref="O21:O33" si="22">N$36+N$35*N21</f>
        <v>98350388.834760293</v>
      </c>
      <c r="P21" s="13">
        <f t="shared" si="20"/>
        <v>98412302.218503028</v>
      </c>
      <c r="Q21" s="13">
        <f t="shared" si="19"/>
        <v>98573355.680268347</v>
      </c>
      <c r="R21" s="13">
        <f t="shared" si="18"/>
        <v>98736568.908142805</v>
      </c>
      <c r="S21" s="13">
        <f t="shared" si="17"/>
        <v>98804436.422948599</v>
      </c>
      <c r="T21" s="13">
        <f t="shared" si="16"/>
        <v>98901498.73921895</v>
      </c>
      <c r="U21" s="13">
        <f t="shared" si="15"/>
        <v>98932506.90987809</v>
      </c>
      <c r="V21" s="13">
        <f t="shared" si="14"/>
        <v>99080997.776933908</v>
      </c>
      <c r="W21" s="13">
        <f t="shared" si="13"/>
        <v>99119715.835610092</v>
      </c>
      <c r="X21" s="13">
        <f t="shared" si="12"/>
        <v>99192026.27307038</v>
      </c>
      <c r="Y21" s="13">
        <f t="shared" si="11"/>
        <v>99235062.410257176</v>
      </c>
      <c r="Z21" s="13">
        <f t="shared" si="10"/>
        <v>99319693.81184341</v>
      </c>
      <c r="AA21" s="13">
        <f t="shared" si="9"/>
        <v>99407825.324891582</v>
      </c>
      <c r="AB21" s="13">
        <f t="shared" si="7"/>
        <v>99708531.131572053</v>
      </c>
      <c r="AC21" s="13">
        <f t="shared" si="8"/>
        <v>99910884.449146956</v>
      </c>
      <c r="AD21" s="13">
        <f t="shared" si="5"/>
        <v>99704280.455921918</v>
      </c>
      <c r="AE21" s="13">
        <f t="shared" si="3"/>
        <v>103595110.61163914</v>
      </c>
      <c r="AF21" s="13">
        <f t="shared" si="4"/>
        <v>103361641.20066483</v>
      </c>
      <c r="AG21" s="13">
        <f t="shared" si="21"/>
        <v>103454507.79752311</v>
      </c>
      <c r="AH21" s="13">
        <f t="shared" si="0"/>
        <v>103454507.79752311</v>
      </c>
      <c r="AI21" s="9">
        <f>N21</f>
        <v>98147822.759766698</v>
      </c>
      <c r="AJ21" s="9">
        <f t="shared" si="1"/>
        <v>103454507.79752311</v>
      </c>
      <c r="AK21" s="9">
        <f t="shared" si="2"/>
        <v>5306685.0377564132</v>
      </c>
    </row>
    <row r="22" spans="1:37" ht="15" customHeight="1" x14ac:dyDescent="0.35">
      <c r="A22" s="6">
        <v>2013</v>
      </c>
      <c r="B22" s="7">
        <v>8945263.9208333399</v>
      </c>
      <c r="C22" s="7">
        <v>26142373.324999999</v>
      </c>
      <c r="D22" s="7">
        <v>53428333.4958333</v>
      </c>
      <c r="E22" s="7">
        <v>66180624.741666697</v>
      </c>
      <c r="F22" s="7">
        <v>73670148.120833293</v>
      </c>
      <c r="G22" s="7">
        <v>78085975.775000006</v>
      </c>
      <c r="H22" s="7">
        <v>81061194.012500003</v>
      </c>
      <c r="I22" s="7">
        <v>81845705.204166606</v>
      </c>
      <c r="J22" s="7">
        <v>83202099.629166707</v>
      </c>
      <c r="K22" s="7">
        <v>84874357.299999997</v>
      </c>
      <c r="L22" s="7">
        <v>85772635.533333302</v>
      </c>
      <c r="M22" s="8">
        <v>86976453.6875</v>
      </c>
      <c r="N22" s="13">
        <f t="shared" ref="N22:N33" si="23">M$36+M$35*M22</f>
        <v>87476962.896741137</v>
      </c>
      <c r="O22" s="13">
        <f t="shared" si="22"/>
        <v>87822877.644566104</v>
      </c>
      <c r="P22" s="13">
        <f t="shared" si="20"/>
        <v>87922686.87328434</v>
      </c>
      <c r="Q22" s="13">
        <f t="shared" si="19"/>
        <v>88117900.303921252</v>
      </c>
      <c r="R22" s="13">
        <f t="shared" si="18"/>
        <v>88250801.500762597</v>
      </c>
      <c r="S22" s="13">
        <f t="shared" si="17"/>
        <v>88330246.274248093</v>
      </c>
      <c r="T22" s="13">
        <f t="shared" si="16"/>
        <v>88389253.774719775</v>
      </c>
      <c r="U22" s="13">
        <f t="shared" si="15"/>
        <v>88398800.534209043</v>
      </c>
      <c r="V22" s="13">
        <f t="shared" si="14"/>
        <v>88515953.964952707</v>
      </c>
      <c r="W22" s="13">
        <f t="shared" si="13"/>
        <v>88563714.005929172</v>
      </c>
      <c r="X22" s="13">
        <f t="shared" si="12"/>
        <v>88642821.979834065</v>
      </c>
      <c r="Y22" s="13">
        <f t="shared" si="11"/>
        <v>88685418.68777512</v>
      </c>
      <c r="Z22" s="13">
        <f t="shared" si="10"/>
        <v>88771854.289982125</v>
      </c>
      <c r="AA22" s="13">
        <f t="shared" si="9"/>
        <v>88895698.085245997</v>
      </c>
      <c r="AB22" s="13">
        <f t="shared" si="7"/>
        <v>89120631.206185773</v>
      </c>
      <c r="AC22" s="13">
        <f t="shared" si="8"/>
        <v>89363362.998170391</v>
      </c>
      <c r="AD22" s="13">
        <f t="shared" si="5"/>
        <v>89317680.562556535</v>
      </c>
      <c r="AE22" s="13">
        <f t="shared" si="3"/>
        <v>92032555.335953221</v>
      </c>
      <c r="AF22" s="13">
        <f t="shared" si="4"/>
        <v>91891406.198324144</v>
      </c>
      <c r="AG22" s="13">
        <f t="shared" si="21"/>
        <v>91973967.214916289</v>
      </c>
      <c r="AH22" s="13">
        <f t="shared" si="0"/>
        <v>91973967.214916289</v>
      </c>
      <c r="AI22" s="9">
        <f>M22</f>
        <v>86976453.6875</v>
      </c>
      <c r="AJ22" s="9">
        <f t="shared" si="1"/>
        <v>91973967.214916289</v>
      </c>
      <c r="AK22" s="9">
        <f t="shared" si="2"/>
        <v>4997513.5274162889</v>
      </c>
    </row>
    <row r="23" spans="1:37" ht="15" customHeight="1" x14ac:dyDescent="0.35">
      <c r="A23" s="6">
        <v>2014</v>
      </c>
      <c r="B23" s="7">
        <v>9053483.0916666705</v>
      </c>
      <c r="C23" s="7">
        <v>33847889.766666703</v>
      </c>
      <c r="D23" s="7">
        <v>58064487.225000001</v>
      </c>
      <c r="E23" s="7">
        <v>72567235.137500003</v>
      </c>
      <c r="F23" s="7">
        <v>79713176.933333293</v>
      </c>
      <c r="G23" s="7">
        <v>83995819.8125</v>
      </c>
      <c r="H23" s="7">
        <v>85389624.487499997</v>
      </c>
      <c r="I23" s="7">
        <v>86055760.020833299</v>
      </c>
      <c r="J23" s="7">
        <v>87136282.287499994</v>
      </c>
      <c r="K23" s="7">
        <v>88814380.737499997</v>
      </c>
      <c r="L23" s="8">
        <v>89663189.479166701</v>
      </c>
      <c r="M23" s="13">
        <f t="shared" ref="M23:M33" si="24">L$36+L$35*L23</f>
        <v>90232888.10630025</v>
      </c>
      <c r="N23" s="13">
        <f t="shared" si="23"/>
        <v>90613294.286474854</v>
      </c>
      <c r="O23" s="13">
        <f t="shared" si="22"/>
        <v>90917076.633720234</v>
      </c>
      <c r="P23" s="13">
        <f t="shared" si="20"/>
        <v>91005747.685228497</v>
      </c>
      <c r="Q23" s="13">
        <f t="shared" si="19"/>
        <v>91190920.970645666</v>
      </c>
      <c r="R23" s="13">
        <f t="shared" si="18"/>
        <v>91332731.344032869</v>
      </c>
      <c r="S23" s="13">
        <f t="shared" si="17"/>
        <v>91408773.38144365</v>
      </c>
      <c r="T23" s="13">
        <f t="shared" si="16"/>
        <v>91478965.783118412</v>
      </c>
      <c r="U23" s="13">
        <f t="shared" si="15"/>
        <v>91494820.384560823</v>
      </c>
      <c r="V23" s="13">
        <f t="shared" si="14"/>
        <v>91621184.374382317</v>
      </c>
      <c r="W23" s="13">
        <f t="shared" si="13"/>
        <v>91666286.83637473</v>
      </c>
      <c r="X23" s="13">
        <f t="shared" si="12"/>
        <v>91743396.90877986</v>
      </c>
      <c r="Y23" s="13">
        <f t="shared" si="11"/>
        <v>91786122.771798819</v>
      </c>
      <c r="Z23" s="13">
        <f t="shared" si="10"/>
        <v>91872028.091431335</v>
      </c>
      <c r="AA23" s="13">
        <f t="shared" si="9"/>
        <v>91985375.492482379</v>
      </c>
      <c r="AB23" s="13">
        <f t="shared" si="7"/>
        <v>92232579.382209629</v>
      </c>
      <c r="AC23" s="13">
        <f t="shared" si="8"/>
        <v>92463443.313648194</v>
      </c>
      <c r="AD23" s="13">
        <f t="shared" si="5"/>
        <v>92370463.533780992</v>
      </c>
      <c r="AE23" s="13">
        <f t="shared" si="3"/>
        <v>95430969.85194923</v>
      </c>
      <c r="AF23" s="13">
        <f t="shared" si="4"/>
        <v>95262686.352617517</v>
      </c>
      <c r="AG23" s="13">
        <f t="shared" si="21"/>
        <v>95348276.339254528</v>
      </c>
      <c r="AH23" s="13">
        <f t="shared" si="0"/>
        <v>95348276.339254528</v>
      </c>
      <c r="AI23" s="9">
        <f>L23</f>
        <v>89663189.479166701</v>
      </c>
      <c r="AJ23" s="9">
        <f t="shared" si="1"/>
        <v>95348276.339254528</v>
      </c>
      <c r="AK23" s="9">
        <f t="shared" si="2"/>
        <v>5685086.8600878268</v>
      </c>
    </row>
    <row r="24" spans="1:37" ht="15" customHeight="1" x14ac:dyDescent="0.35">
      <c r="A24" s="6">
        <v>2015</v>
      </c>
      <c r="B24" s="7">
        <v>11511440.0291667</v>
      </c>
      <c r="C24" s="7">
        <v>36584205.529166698</v>
      </c>
      <c r="D24" s="7">
        <v>56963409.5</v>
      </c>
      <c r="E24" s="7">
        <v>69269661.654166698</v>
      </c>
      <c r="F24" s="7">
        <v>75656728.416666701</v>
      </c>
      <c r="G24" s="7">
        <v>79250545.487499997</v>
      </c>
      <c r="H24" s="7">
        <v>84022407.379166707</v>
      </c>
      <c r="I24" s="7">
        <v>86938147.404166698</v>
      </c>
      <c r="J24" s="7">
        <v>88814147.950000003</v>
      </c>
      <c r="K24" s="8">
        <v>89493517.462500006</v>
      </c>
      <c r="L24" s="13">
        <f t="shared" ref="L24:L33" si="25">K$36+K$35*K24</f>
        <v>90161912.662568629</v>
      </c>
      <c r="M24" s="13">
        <f t="shared" si="24"/>
        <v>90719873.73886925</v>
      </c>
      <c r="N24" s="13">
        <f t="shared" si="23"/>
        <v>91082319.03236185</v>
      </c>
      <c r="O24" s="13">
        <f t="shared" si="22"/>
        <v>91379800.661978945</v>
      </c>
      <c r="P24" s="13">
        <f t="shared" si="20"/>
        <v>91466806.047431424</v>
      </c>
      <c r="Q24" s="13">
        <f t="shared" si="19"/>
        <v>91650477.872710869</v>
      </c>
      <c r="R24" s="13">
        <f t="shared" si="18"/>
        <v>91793620.574779645</v>
      </c>
      <c r="S24" s="13">
        <f t="shared" si="17"/>
        <v>91869153.747780249</v>
      </c>
      <c r="T24" s="13">
        <f t="shared" si="16"/>
        <v>91941018.802881151</v>
      </c>
      <c r="U24" s="13">
        <f t="shared" si="15"/>
        <v>91957816.71470806</v>
      </c>
      <c r="V24" s="13">
        <f t="shared" si="14"/>
        <v>92085558.103660613</v>
      </c>
      <c r="W24" s="13">
        <f t="shared" si="13"/>
        <v>92130263.136251345</v>
      </c>
      <c r="X24" s="13">
        <f t="shared" si="12"/>
        <v>92207074.431159213</v>
      </c>
      <c r="Y24" s="13">
        <f t="shared" si="11"/>
        <v>92249819.608759478</v>
      </c>
      <c r="Z24" s="13">
        <f t="shared" si="10"/>
        <v>92335645.626934692</v>
      </c>
      <c r="AA24" s="13">
        <f t="shared" si="9"/>
        <v>92447423.337791473</v>
      </c>
      <c r="AB24" s="13">
        <f t="shared" si="7"/>
        <v>92697957.724323183</v>
      </c>
      <c r="AC24" s="13">
        <f t="shared" si="8"/>
        <v>92927046.868730307</v>
      </c>
      <c r="AD24" s="13">
        <f t="shared" si="5"/>
        <v>92826993.976327166</v>
      </c>
      <c r="AE24" s="13">
        <f t="shared" si="3"/>
        <v>95939187.991780072</v>
      </c>
      <c r="AF24" s="13">
        <f t="shared" si="4"/>
        <v>95766846.666434169</v>
      </c>
      <c r="AG24" s="13">
        <f t="shared" si="21"/>
        <v>95852889.622393951</v>
      </c>
      <c r="AH24" s="13">
        <f t="shared" si="0"/>
        <v>95852889.622393951</v>
      </c>
      <c r="AI24" s="9">
        <f>K24</f>
        <v>89493517.462500006</v>
      </c>
      <c r="AJ24" s="9">
        <f t="shared" si="1"/>
        <v>95852889.622393951</v>
      </c>
      <c r="AK24" s="9">
        <f t="shared" si="2"/>
        <v>6359372.1598939449</v>
      </c>
    </row>
    <row r="25" spans="1:37" ht="15" customHeight="1" x14ac:dyDescent="0.35">
      <c r="A25" s="6">
        <v>2016</v>
      </c>
      <c r="B25" s="7">
        <v>13027666.35</v>
      </c>
      <c r="C25" s="7">
        <v>42337468.845833398</v>
      </c>
      <c r="D25" s="7">
        <v>61715751.3083333</v>
      </c>
      <c r="E25" s="7">
        <v>72327364.708333299</v>
      </c>
      <c r="F25" s="7">
        <v>76879238.950000003</v>
      </c>
      <c r="G25" s="7">
        <v>80787273.450000003</v>
      </c>
      <c r="H25" s="7">
        <v>87726213.762500003</v>
      </c>
      <c r="I25" s="7">
        <v>90575724.837500006</v>
      </c>
      <c r="J25" s="8">
        <v>92303198.470833302</v>
      </c>
      <c r="K25" s="13">
        <f t="shared" ref="K25:K33" si="26">J$36+J$35*J25</f>
        <v>93313731.339691862</v>
      </c>
      <c r="L25" s="13">
        <f t="shared" si="25"/>
        <v>93899011.257423431</v>
      </c>
      <c r="M25" s="13">
        <f t="shared" si="24"/>
        <v>94369018.963628992</v>
      </c>
      <c r="N25" s="13">
        <f t="shared" si="23"/>
        <v>94596877.36279723</v>
      </c>
      <c r="O25" s="13">
        <f t="shared" si="22"/>
        <v>94847145.62079072</v>
      </c>
      <c r="P25" s="13">
        <f t="shared" si="20"/>
        <v>94921669.616799697</v>
      </c>
      <c r="Q25" s="13">
        <f t="shared" si="19"/>
        <v>95094090.502163693</v>
      </c>
      <c r="R25" s="13">
        <f t="shared" si="18"/>
        <v>95247216.785925731</v>
      </c>
      <c r="S25" s="13">
        <f t="shared" si="17"/>
        <v>95318936.868748158</v>
      </c>
      <c r="T25" s="13">
        <f t="shared" si="16"/>
        <v>95403335.671981379</v>
      </c>
      <c r="U25" s="13">
        <f t="shared" si="15"/>
        <v>95427202.122087136</v>
      </c>
      <c r="V25" s="13">
        <f t="shared" si="14"/>
        <v>95565264.820592925</v>
      </c>
      <c r="W25" s="13">
        <f t="shared" si="13"/>
        <v>95606991.782566577</v>
      </c>
      <c r="X25" s="13">
        <f t="shared" si="12"/>
        <v>95681564.23837015</v>
      </c>
      <c r="Y25" s="13">
        <f t="shared" si="11"/>
        <v>95724454.146548465</v>
      </c>
      <c r="Z25" s="13">
        <f t="shared" si="10"/>
        <v>95809685.932543442</v>
      </c>
      <c r="AA25" s="13">
        <f t="shared" si="9"/>
        <v>95909701.43299064</v>
      </c>
      <c r="AB25" s="13">
        <f t="shared" si="7"/>
        <v>96185192.339175671</v>
      </c>
      <c r="AC25" s="13">
        <f t="shared" si="8"/>
        <v>96400982.414395437</v>
      </c>
      <c r="AD25" s="13">
        <f t="shared" si="5"/>
        <v>96247928.338572323</v>
      </c>
      <c r="AE25" s="13">
        <f t="shared" si="3"/>
        <v>99747435.451395735</v>
      </c>
      <c r="AF25" s="13">
        <f t="shared" si="4"/>
        <v>99544687.486855015</v>
      </c>
      <c r="AG25" s="13">
        <f t="shared" si="21"/>
        <v>99634124.692522809</v>
      </c>
      <c r="AH25" s="13">
        <f t="shared" si="0"/>
        <v>99634124.692522809</v>
      </c>
      <c r="AI25" s="9">
        <f>J25</f>
        <v>92303198.470833302</v>
      </c>
      <c r="AJ25" s="9">
        <f t="shared" si="1"/>
        <v>99634124.692522809</v>
      </c>
      <c r="AK25" s="9">
        <f t="shared" si="2"/>
        <v>7330926.2216895074</v>
      </c>
    </row>
    <row r="26" spans="1:37" ht="15" customHeight="1" x14ac:dyDescent="0.35">
      <c r="A26" s="6">
        <v>2017</v>
      </c>
      <c r="B26" s="7">
        <v>16518055.2875</v>
      </c>
      <c r="C26" s="7">
        <v>46698463.145833299</v>
      </c>
      <c r="D26" s="7">
        <v>63996394.354166701</v>
      </c>
      <c r="E26" s="7">
        <v>72192139.429166704</v>
      </c>
      <c r="F26" s="7">
        <v>78436369.875</v>
      </c>
      <c r="G26" s="7">
        <v>84751998.666666701</v>
      </c>
      <c r="H26" s="7">
        <v>87381817.162499994</v>
      </c>
      <c r="I26" s="8">
        <v>90248684.308333397</v>
      </c>
      <c r="J26" s="13">
        <f t="shared" ref="J26:J33" si="27">I$36+I$35*I26</f>
        <v>91629256.677738637</v>
      </c>
      <c r="K26" s="13">
        <f t="shared" si="26"/>
        <v>92643947.333558157</v>
      </c>
      <c r="L26" s="13">
        <f t="shared" si="25"/>
        <v>93243799.547125578</v>
      </c>
      <c r="M26" s="13">
        <f t="shared" si="24"/>
        <v>93729227.793245658</v>
      </c>
      <c r="N26" s="13">
        <f t="shared" si="23"/>
        <v>93980682.816098198</v>
      </c>
      <c r="O26" s="13">
        <f t="shared" si="22"/>
        <v>94239228.82036604</v>
      </c>
      <c r="P26" s="13">
        <f t="shared" si="20"/>
        <v>94315941.132341698</v>
      </c>
      <c r="Q26" s="13">
        <f t="shared" si="19"/>
        <v>94490334.603495806</v>
      </c>
      <c r="R26" s="13">
        <f t="shared" si="18"/>
        <v>94641710.502709478</v>
      </c>
      <c r="S26" s="13">
        <f t="shared" si="17"/>
        <v>94714099.120566174</v>
      </c>
      <c r="T26" s="13">
        <f t="shared" si="16"/>
        <v>94796300.427976966</v>
      </c>
      <c r="U26" s="13">
        <f t="shared" si="15"/>
        <v>94818927.577342466</v>
      </c>
      <c r="V26" s="13">
        <f t="shared" si="14"/>
        <v>94955180.678720087</v>
      </c>
      <c r="W26" s="13">
        <f t="shared" si="13"/>
        <v>94997429.774828777</v>
      </c>
      <c r="X26" s="13">
        <f t="shared" si="12"/>
        <v>95072394.75803332</v>
      </c>
      <c r="Y26" s="13">
        <f t="shared" si="11"/>
        <v>95115259.291133299</v>
      </c>
      <c r="Z26" s="13">
        <f t="shared" si="10"/>
        <v>95200595.261664286</v>
      </c>
      <c r="AA26" s="13">
        <f t="shared" si="9"/>
        <v>95302672.987071246</v>
      </c>
      <c r="AB26" s="13">
        <f t="shared" si="7"/>
        <v>95573788.35873127</v>
      </c>
      <c r="AC26" s="13">
        <f t="shared" si="8"/>
        <v>95791910.110690743</v>
      </c>
      <c r="AD26" s="13">
        <f t="shared" si="5"/>
        <v>95648148.53683272</v>
      </c>
      <c r="AE26" s="13">
        <f t="shared" si="3"/>
        <v>99079749.473110974</v>
      </c>
      <c r="AF26" s="13">
        <f t="shared" si="4"/>
        <v>98882332.592448711</v>
      </c>
      <c r="AG26" s="13">
        <f t="shared" si="21"/>
        <v>98971174.696836755</v>
      </c>
      <c r="AH26" s="13">
        <f t="shared" si="0"/>
        <v>98971174.696836755</v>
      </c>
      <c r="AI26" s="9">
        <f>I26</f>
        <v>90248684.308333397</v>
      </c>
      <c r="AJ26" s="9">
        <f t="shared" si="1"/>
        <v>98971174.696836755</v>
      </c>
      <c r="AK26" s="9">
        <f t="shared" si="2"/>
        <v>8722490.3885033578</v>
      </c>
    </row>
    <row r="27" spans="1:37" ht="15" customHeight="1" x14ac:dyDescent="0.35">
      <c r="A27" s="6">
        <v>2018</v>
      </c>
      <c r="B27" s="7">
        <v>16902139.8083333</v>
      </c>
      <c r="C27" s="7">
        <v>52601190.433333397</v>
      </c>
      <c r="D27" s="7">
        <v>68619601.058333397</v>
      </c>
      <c r="E27" s="7">
        <v>81872128.495833397</v>
      </c>
      <c r="F27" s="7">
        <v>90434704.3833334</v>
      </c>
      <c r="G27" s="7">
        <v>95228604.066666707</v>
      </c>
      <c r="H27" s="8">
        <v>98581640.466666698</v>
      </c>
      <c r="I27" s="13">
        <f t="shared" ref="I27:I33" si="28">H$36+H$35*H27</f>
        <v>100928210.46431533</v>
      </c>
      <c r="J27" s="13">
        <f t="shared" si="27"/>
        <v>102425009.26107804</v>
      </c>
      <c r="K27" s="13">
        <f t="shared" si="26"/>
        <v>103373097.07406367</v>
      </c>
      <c r="L27" s="13">
        <f t="shared" si="25"/>
        <v>103739518.29696253</v>
      </c>
      <c r="M27" s="13">
        <f t="shared" si="24"/>
        <v>103977927.68281248</v>
      </c>
      <c r="N27" s="13">
        <f t="shared" si="23"/>
        <v>103851392.62742959</v>
      </c>
      <c r="O27" s="13">
        <f t="shared" si="22"/>
        <v>103977338.90032426</v>
      </c>
      <c r="P27" s="13">
        <f t="shared" si="20"/>
        <v>104018996.9717223</v>
      </c>
      <c r="Q27" s="13">
        <f t="shared" si="19"/>
        <v>104161791.94526482</v>
      </c>
      <c r="R27" s="13">
        <f t="shared" si="18"/>
        <v>104341206.94029275</v>
      </c>
      <c r="S27" s="13">
        <f t="shared" si="17"/>
        <v>104402886.41546506</v>
      </c>
      <c r="T27" s="13">
        <f t="shared" si="16"/>
        <v>104520289.01391461</v>
      </c>
      <c r="U27" s="13">
        <f t="shared" si="15"/>
        <v>104562768.29933275</v>
      </c>
      <c r="V27" s="13">
        <f t="shared" si="14"/>
        <v>104728009.01220925</v>
      </c>
      <c r="W27" s="13">
        <f t="shared" si="13"/>
        <v>104761894.13535316</v>
      </c>
      <c r="X27" s="13">
        <f t="shared" si="12"/>
        <v>104830571.29259636</v>
      </c>
      <c r="Y27" s="13">
        <f t="shared" si="11"/>
        <v>104873842.30452026</v>
      </c>
      <c r="Z27" s="13">
        <f t="shared" si="10"/>
        <v>104957509.36167429</v>
      </c>
      <c r="AA27" s="13">
        <f t="shared" si="9"/>
        <v>105026552.67570518</v>
      </c>
      <c r="AB27" s="13">
        <f t="shared" si="7"/>
        <v>105367758.94933303</v>
      </c>
      <c r="AC27" s="13">
        <f t="shared" si="8"/>
        <v>105548529.99023092</v>
      </c>
      <c r="AD27" s="13">
        <f t="shared" si="5"/>
        <v>105255913.49578013</v>
      </c>
      <c r="AE27" s="13">
        <f t="shared" si="3"/>
        <v>109775291.28218637</v>
      </c>
      <c r="AF27" s="13">
        <f t="shared" si="4"/>
        <v>109492476.72602364</v>
      </c>
      <c r="AG27" s="13">
        <f t="shared" si="21"/>
        <v>109590851.65096693</v>
      </c>
      <c r="AH27" s="13">
        <f t="shared" si="0"/>
        <v>109590851.65096693</v>
      </c>
      <c r="AI27" s="9">
        <f>H27</f>
        <v>98581640.466666698</v>
      </c>
      <c r="AJ27" s="9">
        <f t="shared" si="1"/>
        <v>109590851.65096693</v>
      </c>
      <c r="AK27" s="9">
        <f t="shared" si="2"/>
        <v>11009211.184300229</v>
      </c>
    </row>
    <row r="28" spans="1:37" ht="15" customHeight="1" x14ac:dyDescent="0.35">
      <c r="A28" s="6">
        <v>2019</v>
      </c>
      <c r="B28" s="7">
        <v>17923705.070833299</v>
      </c>
      <c r="C28" s="7">
        <v>46221759.975000001</v>
      </c>
      <c r="D28" s="7">
        <v>69053882.416666701</v>
      </c>
      <c r="E28" s="7">
        <v>85072134.537499994</v>
      </c>
      <c r="F28" s="7">
        <v>98606300.650000006</v>
      </c>
      <c r="G28" s="8">
        <v>104453212.94166701</v>
      </c>
      <c r="H28" s="13">
        <f t="shared" ref="H28:H33" si="29">G$36+G$35*G28</f>
        <v>108173782.53005481</v>
      </c>
      <c r="I28" s="13">
        <f t="shared" si="28"/>
        <v>110785814.88972606</v>
      </c>
      <c r="J28" s="13">
        <f t="shared" si="27"/>
        <v>112389895.05159195</v>
      </c>
      <c r="K28" s="13">
        <f t="shared" si="26"/>
        <v>113276505.9349203</v>
      </c>
      <c r="L28" s="13">
        <f t="shared" si="25"/>
        <v>113427461.57132836</v>
      </c>
      <c r="M28" s="13">
        <f t="shared" si="24"/>
        <v>113437863.25584461</v>
      </c>
      <c r="N28" s="13">
        <f t="shared" si="23"/>
        <v>112962429.13756764</v>
      </c>
      <c r="O28" s="13">
        <f t="shared" si="22"/>
        <v>112965980.8697588</v>
      </c>
      <c r="P28" s="13">
        <f t="shared" si="20"/>
        <v>112975282.55829865</v>
      </c>
      <c r="Q28" s="13">
        <f t="shared" si="19"/>
        <v>113088910.92975198</v>
      </c>
      <c r="R28" s="13">
        <f t="shared" si="18"/>
        <v>113294207.06509888</v>
      </c>
      <c r="S28" s="13">
        <f t="shared" si="17"/>
        <v>113346001.59867585</v>
      </c>
      <c r="T28" s="13">
        <f t="shared" si="16"/>
        <v>113495896.31309159</v>
      </c>
      <c r="U28" s="13">
        <f t="shared" si="15"/>
        <v>113556699.86696023</v>
      </c>
      <c r="V28" s="13">
        <f t="shared" si="14"/>
        <v>113748697.23581752</v>
      </c>
      <c r="W28" s="13">
        <f t="shared" si="13"/>
        <v>113774862.09724689</v>
      </c>
      <c r="X28" s="13">
        <f t="shared" si="12"/>
        <v>113837735.35456817</v>
      </c>
      <c r="Y28" s="13">
        <f t="shared" si="11"/>
        <v>113881381.56173904</v>
      </c>
      <c r="Z28" s="13">
        <f t="shared" si="10"/>
        <v>113963508.14905855</v>
      </c>
      <c r="AA28" s="13">
        <f t="shared" si="9"/>
        <v>114002059.45857394</v>
      </c>
      <c r="AB28" s="13">
        <f t="shared" si="7"/>
        <v>114407962.27166688</v>
      </c>
      <c r="AC28" s="13">
        <f t="shared" si="8"/>
        <v>114554257.2010524</v>
      </c>
      <c r="AD28" s="13">
        <f t="shared" si="5"/>
        <v>114124242.01469825</v>
      </c>
      <c r="AE28" s="13">
        <f t="shared" si="3"/>
        <v>119647678.75794081</v>
      </c>
      <c r="AF28" s="13">
        <f t="shared" si="4"/>
        <v>119286038.93447335</v>
      </c>
      <c r="AG28" s="13">
        <f t="shared" si="21"/>
        <v>119393213.01143138</v>
      </c>
      <c r="AH28" s="13">
        <f t="shared" si="0"/>
        <v>119393213.01143138</v>
      </c>
      <c r="AI28" s="9">
        <f>G28</f>
        <v>104453212.94166701</v>
      </c>
      <c r="AJ28" s="9">
        <f t="shared" si="1"/>
        <v>119393213.01143138</v>
      </c>
      <c r="AK28" s="9">
        <f t="shared" si="2"/>
        <v>14940000.069764376</v>
      </c>
    </row>
    <row r="29" spans="1:37" ht="15" customHeight="1" x14ac:dyDescent="0.35">
      <c r="A29" s="6">
        <v>2020</v>
      </c>
      <c r="B29" s="7">
        <v>12157089.5916667</v>
      </c>
      <c r="C29" s="7">
        <v>38029108.404166698</v>
      </c>
      <c r="D29" s="7">
        <v>55750073.479166701</v>
      </c>
      <c r="E29" s="7">
        <v>66589406.945833303</v>
      </c>
      <c r="F29" s="8">
        <v>74790715.6875</v>
      </c>
      <c r="G29" s="13">
        <f>F$36+F$35*F29</f>
        <v>78992651.818239197</v>
      </c>
      <c r="H29" s="13">
        <f t="shared" si="29"/>
        <v>81856529.645737946</v>
      </c>
      <c r="I29" s="13">
        <f t="shared" si="28"/>
        <v>83740232.497104391</v>
      </c>
      <c r="J29" s="13">
        <f t="shared" si="27"/>
        <v>85049972.68813403</v>
      </c>
      <c r="K29" s="13">
        <f t="shared" si="26"/>
        <v>86105253.29024367</v>
      </c>
      <c r="L29" s="13">
        <f t="shared" si="25"/>
        <v>86847365.968538061</v>
      </c>
      <c r="M29" s="13">
        <f t="shared" si="24"/>
        <v>87483335.570618242</v>
      </c>
      <c r="N29" s="13">
        <f t="shared" si="23"/>
        <v>87965150.084461868</v>
      </c>
      <c r="O29" s="13">
        <f t="shared" si="22"/>
        <v>88304506.692984909</v>
      </c>
      <c r="P29" s="13">
        <f t="shared" si="20"/>
        <v>88402582.203312844</v>
      </c>
      <c r="Q29" s="13">
        <f t="shared" si="19"/>
        <v>88596232.830262884</v>
      </c>
      <c r="R29" s="13">
        <f t="shared" si="18"/>
        <v>88730520.789312169</v>
      </c>
      <c r="S29" s="13">
        <f t="shared" si="17"/>
        <v>88809435.908259153</v>
      </c>
      <c r="T29" s="13">
        <f t="shared" si="16"/>
        <v>88870184.399967015</v>
      </c>
      <c r="U29" s="13">
        <f t="shared" si="15"/>
        <v>88880713.00966312</v>
      </c>
      <c r="V29" s="13">
        <f t="shared" si="14"/>
        <v>88999300.114459306</v>
      </c>
      <c r="W29" s="13">
        <f t="shared" si="13"/>
        <v>89046646.488686576</v>
      </c>
      <c r="X29" s="13">
        <f t="shared" si="12"/>
        <v>89125443.478261918</v>
      </c>
      <c r="Y29" s="13">
        <f t="shared" si="11"/>
        <v>89168060.289899439</v>
      </c>
      <c r="Z29" s="13">
        <f t="shared" si="10"/>
        <v>89254413.35071443</v>
      </c>
      <c r="AA29" s="13">
        <f t="shared" si="9"/>
        <v>89376623.324632525</v>
      </c>
      <c r="AB29" s="13">
        <f t="shared" si="7"/>
        <v>89605023.012918562</v>
      </c>
      <c r="AC29" s="13">
        <f t="shared" si="8"/>
        <v>89845907.507298335</v>
      </c>
      <c r="AD29" s="13">
        <f t="shared" si="5"/>
        <v>89792862.980563208</v>
      </c>
      <c r="AE29" s="13">
        <f t="shared" si="3"/>
        <v>92561537.200147852</v>
      </c>
      <c r="AF29" s="13">
        <f t="shared" si="4"/>
        <v>92416164.450252041</v>
      </c>
      <c r="AG29" s="13">
        <f t="shared" si="21"/>
        <v>92499196.942649558</v>
      </c>
      <c r="AH29" s="13">
        <f t="shared" si="0"/>
        <v>92499196.942649558</v>
      </c>
      <c r="AI29" s="9">
        <f>F29</f>
        <v>74790715.6875</v>
      </c>
      <c r="AJ29" s="9">
        <f t="shared" si="1"/>
        <v>92499196.942649558</v>
      </c>
      <c r="AK29" s="9">
        <f t="shared" si="2"/>
        <v>17708481.255149558</v>
      </c>
    </row>
    <row r="30" spans="1:37" ht="15" customHeight="1" x14ac:dyDescent="0.35">
      <c r="A30" s="6">
        <v>2021</v>
      </c>
      <c r="B30" s="7">
        <v>15171797.887499999</v>
      </c>
      <c r="C30" s="7">
        <v>49475416.929166697</v>
      </c>
      <c r="D30" s="7">
        <v>67577878.775000006</v>
      </c>
      <c r="E30" s="8">
        <v>79065031.674999997</v>
      </c>
      <c r="F30" s="13">
        <f>E$36+E$35*E30</f>
        <v>87358281.572972894</v>
      </c>
      <c r="G30" s="13">
        <f>F$36+F$35*F30</f>
        <v>92244378.584381148</v>
      </c>
      <c r="H30" s="13">
        <f t="shared" si="29"/>
        <v>95554147.807716429</v>
      </c>
      <c r="I30" s="13">
        <f t="shared" si="28"/>
        <v>97816931.999552339</v>
      </c>
      <c r="J30" s="13">
        <f t="shared" si="27"/>
        <v>99279870.419441402</v>
      </c>
      <c r="K30" s="13">
        <f t="shared" si="26"/>
        <v>100247361.7141522</v>
      </c>
      <c r="L30" s="13">
        <f t="shared" si="25"/>
        <v>100681788.65225486</v>
      </c>
      <c r="M30" s="13">
        <f t="shared" si="24"/>
        <v>100992162.32276723</v>
      </c>
      <c r="N30" s="13">
        <f t="shared" si="23"/>
        <v>100975747.54548761</v>
      </c>
      <c r="O30" s="13">
        <f t="shared" si="22"/>
        <v>101140324.24848087</v>
      </c>
      <c r="P30" s="13">
        <f t="shared" si="20"/>
        <v>101192194.71153514</v>
      </c>
      <c r="Q30" s="13">
        <f t="shared" si="19"/>
        <v>101344195.31121704</v>
      </c>
      <c r="R30" s="13">
        <f t="shared" si="18"/>
        <v>101515441.64466728</v>
      </c>
      <c r="S30" s="13">
        <f t="shared" si="17"/>
        <v>101580241.02652116</v>
      </c>
      <c r="T30" s="13">
        <f t="shared" si="16"/>
        <v>101687388.3929369</v>
      </c>
      <c r="U30" s="13">
        <f t="shared" si="15"/>
        <v>101724084.13304807</v>
      </c>
      <c r="V30" s="13">
        <f t="shared" si="14"/>
        <v>101880879.85219695</v>
      </c>
      <c r="W30" s="13">
        <f t="shared" si="13"/>
        <v>101917201.66106878</v>
      </c>
      <c r="X30" s="13">
        <f t="shared" si="12"/>
        <v>101987710.65777919</v>
      </c>
      <c r="Y30" s="13">
        <f t="shared" si="11"/>
        <v>102030863.24976641</v>
      </c>
      <c r="Z30" s="13">
        <f t="shared" si="10"/>
        <v>102115016.51334696</v>
      </c>
      <c r="AA30" s="13">
        <f t="shared" si="9"/>
        <v>102193683.77990244</v>
      </c>
      <c r="AB30" s="13">
        <f t="shared" si="7"/>
        <v>102514470.39158244</v>
      </c>
      <c r="AC30" s="13">
        <f t="shared" si="8"/>
        <v>102706122.85748667</v>
      </c>
      <c r="AD30" s="13">
        <f t="shared" si="5"/>
        <v>102456872.4358419</v>
      </c>
      <c r="AE30" s="13">
        <f t="shared" si="3"/>
        <v>106659346.95904717</v>
      </c>
      <c r="AF30" s="13">
        <f t="shared" si="4"/>
        <v>106401411.40452223</v>
      </c>
      <c r="AG30" s="13">
        <f t="shared" si="21"/>
        <v>106497009.12204368</v>
      </c>
      <c r="AH30" s="13">
        <f t="shared" si="0"/>
        <v>106497009.12204368</v>
      </c>
      <c r="AI30" s="9">
        <f>E30</f>
        <v>79065031.674999997</v>
      </c>
      <c r="AJ30" s="9">
        <f t="shared" si="1"/>
        <v>106497009.12204368</v>
      </c>
      <c r="AK30" s="9">
        <f t="shared" si="2"/>
        <v>27431977.447043687</v>
      </c>
    </row>
    <row r="31" spans="1:37" ht="15" customHeight="1" x14ac:dyDescent="0.35">
      <c r="A31" s="6">
        <v>2022</v>
      </c>
      <c r="B31" s="7">
        <v>20467424.095833302</v>
      </c>
      <c r="C31" s="7">
        <v>62901936.5041667</v>
      </c>
      <c r="D31" s="8">
        <v>88838509.570833296</v>
      </c>
      <c r="E31" s="12">
        <f>D$36+D$35*D31</f>
        <v>106705140.89483544</v>
      </c>
      <c r="F31" s="13">
        <f>E$36+E$35*E31</f>
        <v>118084734.64386934</v>
      </c>
      <c r="G31" s="13">
        <f>F$36+F$35*F31</f>
        <v>124643537.20417951</v>
      </c>
      <c r="H31" s="13">
        <f t="shared" si="29"/>
        <v>129043466.69989696</v>
      </c>
      <c r="I31" s="13">
        <f t="shared" si="28"/>
        <v>132233067.20000872</v>
      </c>
      <c r="J31" s="13">
        <f t="shared" si="27"/>
        <v>134070560.10662101</v>
      </c>
      <c r="K31" s="13">
        <f t="shared" si="26"/>
        <v>134823415.24517405</v>
      </c>
      <c r="L31" s="13">
        <f t="shared" si="25"/>
        <v>134505581.04195952</v>
      </c>
      <c r="M31" s="13">
        <f t="shared" si="24"/>
        <v>134019904.92824459</v>
      </c>
      <c r="N31" s="13">
        <f t="shared" si="23"/>
        <v>132785368.91159755</v>
      </c>
      <c r="O31" s="13">
        <f t="shared" si="22"/>
        <v>132522626.06727856</v>
      </c>
      <c r="P31" s="13">
        <f t="shared" si="20"/>
        <v>132461529.76893844</v>
      </c>
      <c r="Q31" s="13">
        <f t="shared" si="19"/>
        <v>132511700.1797104</v>
      </c>
      <c r="R31" s="13">
        <f t="shared" si="18"/>
        <v>132773306.0757805</v>
      </c>
      <c r="S31" s="13">
        <f t="shared" si="17"/>
        <v>132803593.87939362</v>
      </c>
      <c r="T31" s="13">
        <f t="shared" si="16"/>
        <v>133024181.89607103</v>
      </c>
      <c r="U31" s="13">
        <f t="shared" si="15"/>
        <v>133124853.67673178</v>
      </c>
      <c r="V31" s="13">
        <f t="shared" si="14"/>
        <v>133375065.67127644</v>
      </c>
      <c r="W31" s="13">
        <f t="shared" si="13"/>
        <v>133384433.51045294</v>
      </c>
      <c r="X31" s="13">
        <f t="shared" si="12"/>
        <v>133434679.18599704</v>
      </c>
      <c r="Y31" s="13">
        <f t="shared" si="11"/>
        <v>133479141.70784032</v>
      </c>
      <c r="Z31" s="13">
        <f t="shared" si="10"/>
        <v>133557916.68519542</v>
      </c>
      <c r="AA31" s="13">
        <f t="shared" si="9"/>
        <v>133530126.34758563</v>
      </c>
      <c r="AB31" s="13">
        <f t="shared" si="7"/>
        <v>134076789.8308809</v>
      </c>
      <c r="AC31" s="13">
        <f t="shared" si="8"/>
        <v>134148074.86634356</v>
      </c>
      <c r="AD31" s="13">
        <f t="shared" si="5"/>
        <v>133419120.47679338</v>
      </c>
      <c r="AE31" s="13">
        <f t="shared" si="3"/>
        <v>141127094.64437774</v>
      </c>
      <c r="AF31" s="13">
        <f t="shared" si="4"/>
        <v>140593954.18816507</v>
      </c>
      <c r="AG31" s="13">
        <f t="shared" si="21"/>
        <v>140720272.63582742</v>
      </c>
      <c r="AH31" s="13">
        <f t="shared" si="0"/>
        <v>140720272.63582742</v>
      </c>
      <c r="AI31" s="9">
        <f>D31</f>
        <v>88838509.570833296</v>
      </c>
      <c r="AJ31" s="9">
        <f t="shared" si="1"/>
        <v>140720272.63582742</v>
      </c>
      <c r="AK31" s="9">
        <f t="shared" si="2"/>
        <v>51881763.064994127</v>
      </c>
    </row>
    <row r="32" spans="1:37" ht="15" customHeight="1" x14ac:dyDescent="0.35">
      <c r="A32" s="6">
        <v>2023</v>
      </c>
      <c r="B32" s="7">
        <v>22938942.387499999</v>
      </c>
      <c r="C32" s="14">
        <v>64614532.979166701</v>
      </c>
      <c r="D32" s="12">
        <f>C$36+C$35*C32</f>
        <v>87745947.588679165</v>
      </c>
      <c r="E32" s="12">
        <f>D$36+D$35*D32</f>
        <v>105466842.05278715</v>
      </c>
      <c r="F32" s="13">
        <f>E$36+E$35*E32</f>
        <v>116708165.14642911</v>
      </c>
      <c r="G32" s="13">
        <f>F$36+F$35*F32</f>
        <v>123192029.16985366</v>
      </c>
      <c r="H32" s="13">
        <f t="shared" si="29"/>
        <v>127543118.61967255</v>
      </c>
      <c r="I32" s="13">
        <f t="shared" si="28"/>
        <v>130691197.01318909</v>
      </c>
      <c r="J32" s="13">
        <f t="shared" si="27"/>
        <v>132511909.58136261</v>
      </c>
      <c r="K32" s="13">
        <f t="shared" si="26"/>
        <v>133274380.59015401</v>
      </c>
      <c r="L32" s="13">
        <f t="shared" si="25"/>
        <v>132990248.28344075</v>
      </c>
      <c r="M32" s="13">
        <f t="shared" si="24"/>
        <v>132540235.83220202</v>
      </c>
      <c r="N32" s="13">
        <f t="shared" si="23"/>
        <v>131360272.61438823</v>
      </c>
      <c r="O32" s="13">
        <f t="shared" si="22"/>
        <v>131116674.02512312</v>
      </c>
      <c r="P32" s="13">
        <f t="shared" si="20"/>
        <v>131060638.72740032</v>
      </c>
      <c r="Q32" s="13">
        <f t="shared" si="19"/>
        <v>131115371.21149875</v>
      </c>
      <c r="R32" s="13">
        <f t="shared" si="18"/>
        <v>131372928.92740899</v>
      </c>
      <c r="S32" s="13">
        <f t="shared" si="17"/>
        <v>131404762.87713294</v>
      </c>
      <c r="T32" s="13">
        <f t="shared" si="16"/>
        <v>131620268.66259545</v>
      </c>
      <c r="U32" s="13">
        <f t="shared" si="15"/>
        <v>131718074.26583624</v>
      </c>
      <c r="V32" s="13">
        <f t="shared" si="14"/>
        <v>131964101.13706133</v>
      </c>
      <c r="W32" s="13">
        <f t="shared" si="13"/>
        <v>131974676.53548431</v>
      </c>
      <c r="X32" s="13">
        <f t="shared" si="12"/>
        <v>132025830.02390777</v>
      </c>
      <c r="Y32" s="13">
        <f t="shared" si="11"/>
        <v>132070233.85985328</v>
      </c>
      <c r="Z32" s="13">
        <f t="shared" si="10"/>
        <v>132149249.78870218</v>
      </c>
      <c r="AA32" s="13">
        <f t="shared" si="9"/>
        <v>132126228.83629693</v>
      </c>
      <c r="AB32" s="13">
        <f t="shared" si="7"/>
        <v>132662772.85637508</v>
      </c>
      <c r="AC32" s="13">
        <f t="shared" si="8"/>
        <v>132739450.44830526</v>
      </c>
      <c r="AD32" s="13">
        <f t="shared" si="5"/>
        <v>132031987.17744997</v>
      </c>
      <c r="AE32" s="13">
        <f t="shared" si="3"/>
        <v>139582912.1772503</v>
      </c>
      <c r="AF32" s="13">
        <f t="shared" si="4"/>
        <v>139062101.11917332</v>
      </c>
      <c r="AG32" s="13">
        <f t="shared" si="21"/>
        <v>139187043.25373006</v>
      </c>
      <c r="AH32" s="13">
        <f t="shared" si="0"/>
        <v>139187043.25373006</v>
      </c>
      <c r="AI32" s="9">
        <f>C32</f>
        <v>64614532.979166701</v>
      </c>
      <c r="AJ32" s="9">
        <f t="shared" si="1"/>
        <v>139187043.25373006</v>
      </c>
      <c r="AK32" s="9">
        <f t="shared" si="2"/>
        <v>74572510.274563357</v>
      </c>
    </row>
    <row r="33" spans="1:37" ht="15" customHeight="1" x14ac:dyDescent="0.35">
      <c r="A33" s="6">
        <v>2024</v>
      </c>
      <c r="B33" s="8">
        <v>23071016.679166701</v>
      </c>
      <c r="C33" s="13">
        <f>B$36+B$35*B33</f>
        <v>64668524.392909966</v>
      </c>
      <c r="D33" s="13">
        <f>C$36+C$35*C33</f>
        <v>87803901.090598166</v>
      </c>
      <c r="E33" s="13">
        <f>D$36+D$35*D33</f>
        <v>105532525.97323391</v>
      </c>
      <c r="F33" s="13">
        <f>E$36+E$35*E33</f>
        <v>116781183.45048383</v>
      </c>
      <c r="G33" s="13">
        <f>F$36+F$35*F33</f>
        <v>123269022.48925044</v>
      </c>
      <c r="H33" s="13">
        <f t="shared" si="29"/>
        <v>127622702.59455611</v>
      </c>
      <c r="I33" s="13">
        <f t="shared" si="28"/>
        <v>130772983.47317056</v>
      </c>
      <c r="J33" s="13">
        <f t="shared" si="27"/>
        <v>132594586.13215064</v>
      </c>
      <c r="K33" s="13">
        <f t="shared" si="26"/>
        <v>133356547.07985313</v>
      </c>
      <c r="L33" s="13">
        <f t="shared" si="25"/>
        <v>133070627.10071903</v>
      </c>
      <c r="M33" s="13">
        <f t="shared" si="24"/>
        <v>132618722.91778405</v>
      </c>
      <c r="N33" s="13">
        <f t="shared" si="23"/>
        <v>131435864.95820406</v>
      </c>
      <c r="O33" s="13">
        <f t="shared" si="22"/>
        <v>131191250.88730942</v>
      </c>
      <c r="P33" s="13">
        <f t="shared" si="20"/>
        <v>131134947.13551831</v>
      </c>
      <c r="Q33" s="13">
        <f t="shared" si="19"/>
        <v>131189437.63048515</v>
      </c>
      <c r="R33" s="13">
        <f t="shared" si="18"/>
        <v>131447210.07674523</v>
      </c>
      <c r="S33" s="13">
        <f t="shared" si="17"/>
        <v>131478962.01319847</v>
      </c>
      <c r="T33" s="13">
        <f t="shared" si="16"/>
        <v>131694737.37887819</v>
      </c>
      <c r="U33" s="13">
        <f t="shared" si="15"/>
        <v>131792695.01470049</v>
      </c>
      <c r="V33" s="13">
        <f t="shared" si="14"/>
        <v>132038943.88024379</v>
      </c>
      <c r="W33" s="13">
        <f t="shared" si="13"/>
        <v>132049455.22528744</v>
      </c>
      <c r="X33" s="13">
        <f t="shared" si="12"/>
        <v>132100560.5599802</v>
      </c>
      <c r="Y33" s="13">
        <f t="shared" si="11"/>
        <v>132144967.50884137</v>
      </c>
      <c r="Z33" s="13">
        <f t="shared" si="10"/>
        <v>132223970.6567377</v>
      </c>
      <c r="AA33" s="13">
        <f t="shared" si="9"/>
        <v>132200696.71861713</v>
      </c>
      <c r="AB33" s="13">
        <f t="shared" si="7"/>
        <v>132737777.51220612</v>
      </c>
      <c r="AC33" s="13">
        <f t="shared" si="8"/>
        <v>132814169.06312747</v>
      </c>
      <c r="AD33" s="13">
        <f t="shared" si="5"/>
        <v>132105565.82437208</v>
      </c>
      <c r="AE33" s="13">
        <f t="shared" si="3"/>
        <v>139664821.28907529</v>
      </c>
      <c r="AF33" s="13">
        <f t="shared" si="4"/>
        <v>139143356.23441947</v>
      </c>
      <c r="AG33" s="13">
        <f t="shared" si="21"/>
        <v>139268371.37368029</v>
      </c>
      <c r="AH33" s="13">
        <f t="shared" si="0"/>
        <v>139268371.37368029</v>
      </c>
      <c r="AI33" s="9">
        <f>B33</f>
        <v>23071016.679166701</v>
      </c>
      <c r="AJ33" s="9">
        <f t="shared" si="1"/>
        <v>139268371.37368029</v>
      </c>
      <c r="AK33" s="9">
        <f t="shared" si="2"/>
        <v>116197354.69451359</v>
      </c>
    </row>
    <row r="34" spans="1:37" ht="15.6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I34" s="18">
        <f>SUM(AI2:AI33)</f>
        <v>2755850269.968102</v>
      </c>
      <c r="AJ34" s="18">
        <f>AI34+AK34</f>
        <v>3165387299.455307</v>
      </c>
      <c r="AK34" s="19">
        <f>SUM(AK2:AK33)</f>
        <v>409537029.48720515</v>
      </c>
    </row>
    <row r="35" spans="1:37" x14ac:dyDescent="0.3">
      <c r="A35" s="15" t="s">
        <v>33</v>
      </c>
      <c r="B35" s="15">
        <f>SLOPE(C2:C32,B2:B32)</f>
        <v>2.2965408547001123</v>
      </c>
      <c r="C35" s="15">
        <f>SLOPE(D2:D31,C2:C31)</f>
        <v>1.0733836716067575</v>
      </c>
      <c r="D35" s="15">
        <f>SLOPE(E2:E30,D2:D30)</f>
        <v>1.1333900156463574</v>
      </c>
      <c r="E35" s="15">
        <f>SLOPE(F2:F29,E2:E29)</f>
        <v>1.1116617820325445</v>
      </c>
      <c r="F35" s="15">
        <f>SLOPE(G2:G28,F2:F28)</f>
        <v>1.0544386149954377</v>
      </c>
      <c r="G35" s="15">
        <f>SLOPE(H2:H27,G2:G27)</f>
        <v>1.0336477957707209</v>
      </c>
      <c r="H35" s="15">
        <f>SLOPE(I2:I26,H2:H26)</f>
        <v>1.0276749823207738</v>
      </c>
      <c r="I35" s="15">
        <f>SLOPE(J2:J25,I2:I25)</f>
        <v>1.0108831071397655</v>
      </c>
      <c r="J35" s="15">
        <f>SLOPE(K2:K24,J2:J24)</f>
        <v>0.99383064382776987</v>
      </c>
      <c r="K35" s="15">
        <f>SLOPE(L2:L23,K2:K23)</f>
        <v>0.97824329081853534</v>
      </c>
      <c r="L35" s="15">
        <f>SLOPE(M2:M22,L2:L22)</f>
        <v>0.97646479806121311</v>
      </c>
      <c r="M35" s="15">
        <f>SLOPE(N2:N21,M2:M21)</f>
        <v>0.96311824111268762</v>
      </c>
      <c r="N35" s="15">
        <f>SLOPE(O2:O20,N2:N20)</f>
        <v>0.98656634285601708</v>
      </c>
      <c r="O35" s="15">
        <f>SLOPE(P2:P19,O2:O19)</f>
        <v>0.99640030351990516</v>
      </c>
      <c r="P35" s="15">
        <f>SLOPE(Q2:Q18,P2:P18)</f>
        <v>0.99674344885418875</v>
      </c>
      <c r="Q35" s="15">
        <f>SLOPE(R2:R17,Q2:Q17)</f>
        <v>1.0028991593328089</v>
      </c>
      <c r="R35" s="15">
        <f>SLOPE(S2:S16,R2:R16)</f>
        <v>0.99889590735423361</v>
      </c>
      <c r="S35" s="15">
        <f>SLOPE(T2:T15,S2:S15)</f>
        <v>1.0036331988686868</v>
      </c>
      <c r="T35" s="15">
        <f>SLOPE(U2:U14,T2:T14)</f>
        <v>1.0020415630764261</v>
      </c>
      <c r="U35" s="15">
        <f>SLOPE(V2:V13,U2:U13)</f>
        <v>1.0029749677079036</v>
      </c>
      <c r="V35" s="15">
        <f>SLOPE(W2:W12,V2:V12)</f>
        <v>0.9991441604539274</v>
      </c>
      <c r="W35" s="15">
        <f>SLOPE(X2:X11,W2:W11)</f>
        <v>0.99935605008844453</v>
      </c>
      <c r="X35" s="15">
        <f>SLOPE(Y2:Y10,X2:X10)</f>
        <v>1.0000416552029456</v>
      </c>
      <c r="Y35" s="15">
        <f>SLOPE(Z2:Z9,Y2:Y9)</f>
        <v>0.99982897994773756</v>
      </c>
      <c r="Z35" s="15">
        <f>SLOPE(AA2:AA8,Z2:Z8)</f>
        <v>0.99661425620462996</v>
      </c>
      <c r="AA35" s="15">
        <f>SLOPE(AB2:AB7,AA2:AA7)</f>
        <v>1.0072081210599251</v>
      </c>
      <c r="AB35" s="15">
        <f>SLOPE(AC2:AC6,AB2:AB6)</f>
        <v>0.9961863566246123</v>
      </c>
      <c r="AC35" s="15">
        <f>SLOPE(AD2:AD5,AC2:AC5)</f>
        <v>0.98474318745317413</v>
      </c>
      <c r="AD35" s="15">
        <f>SLOPE(AE2:AE4,AD2:AD4)</f>
        <v>1.1132185117741658</v>
      </c>
      <c r="AE35" s="15">
        <f>SLOPE(AF2:AF3,AE2:AE3)</f>
        <v>0.99201558209720619</v>
      </c>
      <c r="AF35" s="16">
        <f>AG2/AF2</f>
        <v>1.0008984628705535</v>
      </c>
      <c r="AG35" s="17">
        <v>1</v>
      </c>
    </row>
    <row r="36" spans="1:37" x14ac:dyDescent="0.3">
      <c r="A36" s="15" t="s">
        <v>34</v>
      </c>
      <c r="B36" s="15">
        <f>INTERCEPT(C2:C32,B2:B32)</f>
        <v>11684992.029735923</v>
      </c>
      <c r="C36" s="15">
        <f>INTERCEPT(D2:D31,C2:C31)</f>
        <v>18389762.940345295</v>
      </c>
      <c r="D36" s="15">
        <f>INTERCEPT(E2:E30,D2:D30)</f>
        <v>6016461.1423496231</v>
      </c>
      <c r="E36" s="15">
        <f>INTERCEPT(F2:F29,E2:E29)</f>
        <v>-535292.4353171736</v>
      </c>
      <c r="F36" s="15">
        <f>INTERCEPT(G2:G28,F2:F28)</f>
        <v>130433.15419414639</v>
      </c>
      <c r="G36" s="15">
        <f>INTERCEPT(H2:H27,G2:G27)</f>
        <v>205949.21173097193</v>
      </c>
      <c r="H36" s="15">
        <f>INTERCEPT(I2:I26,H2:H26)</f>
        <v>-381675.15941925347</v>
      </c>
      <c r="I36" s="15">
        <f>INTERCEPT(J2:J25,I2:I25)</f>
        <v>398386.26885478199</v>
      </c>
      <c r="J36" s="15">
        <f>INTERCEPT(K2:K24,J2:J24)</f>
        <v>1579984.1760611832</v>
      </c>
      <c r="K36" s="15">
        <f>INTERCEPT(L2:L23,K2:K23)</f>
        <v>2615479.6331265718</v>
      </c>
      <c r="L36" s="15">
        <f>INTERCEPT(M2:M22,L2:L22)</f>
        <v>2679939.8980014473</v>
      </c>
      <c r="M36" s="15">
        <f>INTERCEPT(N2:N21,M2:M21)</f>
        <v>3708353.8030170053</v>
      </c>
      <c r="N36" s="15">
        <f>INTERCEPT(O2:O20,N2:N20)</f>
        <v>1521050.2753767073</v>
      </c>
      <c r="O36" s="15">
        <f>INTERCEPT(P2:P19,O2:O19)</f>
        <v>415944.93224717677</v>
      </c>
      <c r="P36" s="15">
        <f>INTERCEPT(Q2:Q18,P2:P18)</f>
        <v>481538.15731690824</v>
      </c>
      <c r="Q36" s="15">
        <f>INTERCEPT(R2:R17,Q2:Q17)</f>
        <v>-122566.63621228933</v>
      </c>
      <c r="R36" s="15">
        <f>INTERCEPT(S2:S16,R2:R16)</f>
        <v>176881.83440548182</v>
      </c>
      <c r="S36" s="15">
        <f>INTERCEPT(T2:T15,S2:S15)</f>
        <v>-261913.85036274791</v>
      </c>
      <c r="T36" s="15">
        <f>INTERCEPT(U2:U14,T2:T14)</f>
        <v>-170905.47737005353</v>
      </c>
      <c r="U36" s="15">
        <f>INTERCEPT(V2:V13,U2:U13)</f>
        <v>-145830.14626301825</v>
      </c>
      <c r="V36" s="15">
        <f>INTERCEPT(W2:W12,V2:V12)</f>
        <v>123515.49483801425</v>
      </c>
      <c r="W36" s="15">
        <f>INTERCEPT(X2:X11,W2:W11)</f>
        <v>136138.56970603764</v>
      </c>
      <c r="X36" s="15">
        <f>INTERCEPT(Y2:Y10,X2:X10)</f>
        <v>38904.273201808333</v>
      </c>
      <c r="Y36" s="15">
        <f>INTERCEPT(Z2:Z9,Y2:Y9)</f>
        <v>101602.58714590967</v>
      </c>
      <c r="Z36" s="15">
        <f>INTERCEPT(AA2:AA8,Z2:Z8)</f>
        <v>424402.55012966692</v>
      </c>
      <c r="AA36" s="15">
        <f>INTERCEPT(AB2:AB7,AA2:AA7)</f>
        <v>-415837.83256523311</v>
      </c>
      <c r="AB36" s="15">
        <f>INTERCEPT(AC2:AC6,AB2:AB6)</f>
        <v>582606.09679445624</v>
      </c>
      <c r="AC36" s="15">
        <f>INTERCEPT(AD2:AD5,AC2:AC5)</f>
        <v>1317717.642203182</v>
      </c>
      <c r="AD36" s="15">
        <f>INTERCEPT(AE2:AE4,AD2:AD4)</f>
        <v>-7397540.0950163007</v>
      </c>
      <c r="AE36" s="15">
        <f>INTERCEPT(AF2:AF3,AE2:AE3)</f>
        <v>593677.24483516812</v>
      </c>
      <c r="AF36" s="15">
        <v>0</v>
      </c>
      <c r="AG36" s="15">
        <v>0</v>
      </c>
    </row>
    <row r="37" spans="1:37" x14ac:dyDescent="0.3">
      <c r="A37" s="1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 complet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kchikach riyane</dc:creator>
  <dc:description/>
  <cp:lastModifiedBy>kchikach riyane</cp:lastModifiedBy>
  <cp:revision>0</cp:revision>
  <dcterms:created xsi:type="dcterms:W3CDTF">2026-07-24T13:05:02Z</dcterms:created>
  <dcterms:modified xsi:type="dcterms:W3CDTF">2026-07-26T12:48:39Z</dcterms:modified>
  <dc:language>en-US</dc:language>
</cp:coreProperties>
</file>